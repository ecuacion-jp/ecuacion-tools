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AC7C33A7-38BC-3248-9A0D-AD6F9AACB77F}" xr6:coauthVersionLast="47" xr6:coauthVersionMax="47" xr10:uidLastSave="{00000000-0000-0000-0000-000000000000}"/>
  <bookViews>
    <workbookView xWindow="2500" yWindow="500" windowWidth="28800" windowHeight="16600"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 name="更新項目設定" sheetId="16" r:id="rId15"/>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4" l="1" a="1"/>
  <c r="C5" i="14" s="1"/>
  <c r="D5" i="10" a="1"/>
  <c r="D5"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4"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<sst xmlns="http://schemas.openxmlformats.org/spreadsheetml/2006/main" count="96" uniqueCount="86">
  <si>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</si>
  <si>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</si>
  <si>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</si>
  <si>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</si>
  <si>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</si>
  <si>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</si>
  <si>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</si>
  <si>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</si>
  <si>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</si>
  <si>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</si>
  <si>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</si>
  <si>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</si>
  <si>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</si>
  <si>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</si>
  <si>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</si>
  <si>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</si>
  <si>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</si>
  <si>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</si>
  <si>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</si>
  <si>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</si>
  <si>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</si>
  <si>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</si>
  <si>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</si>
  <si>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</si>
  <si>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</si>
  <si>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</si>
  <si>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</si>
  <si>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</si>
  <si>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</si>
  <si>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</si>
  <si>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</si>
  <si>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</si>
  <si>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</si>
  <si>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</si>
  <si>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</si>
  <si>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</si>
  <si>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</si>
  <si>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論理廃止：更新用日付／日時カラム名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</si>
  <si>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</si>
  <si>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</si>
  <si>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</si>
  <si>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</si>
  <si>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</si>
  <si>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</si>
  <si>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</si>
  <si>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</si>
  <si>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</si>
  <si>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</si>
  <si>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</si>
  <si>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</si>
  <si>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期間経過チェック用：日付／日時カラム名</t>
  </si>
  <si>
    <t>期間経過チェック用：timestampカラム型</t>
  </si>
  <si>
    <t>期間経過チェック用：要経過日数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</si>
  <si>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</si>
  <si>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</si>
  <si>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論理廃止：更新用ユーザIDカラム名</t>
  </si>
  <si>
    <t>論理廃止：更新用ユーザIDカラム値</t>
  </si>
  <si>
    <t>論理廃止：更新用ユーザIDカラム型リテラル記号</t>
  </si>
  <si>
    <t>論理廃止：更新用日付／日時カラム名</t>
  </si>
  <si>
    <t>locale</t>
  </si>
  <si>
    <t>v1.3.0</t>
  </si>
  <si>
    <t>ja</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</si>
  <si>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</si>
  <si>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</si>
  <si>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</si>
  <si>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</si>
  <si>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</si>
  <si>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</si>
  <si>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</si>
  <si>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</si>
  <si>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</si>
  <si>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処理種別</t>
  </si>
  <si>
    <t>処理種別（内部値）</t>
  </si>
  <si>
    <t>関連テーブル処理パターン（内部値）</t>
  </si>
  <si>
    <t>v2.0.0</t>
  </si>
  <si>
    <t>housekeep-db: v15対応
・infoシート
　- database項目削除（mysqlへの対応追加に伴う修正）
　- 非表示に変更
　- 1行目のコメントを削除
・housekeep DB設定 シート
　- 「論理廃止 / 削除」列を「処理種別」に名称変更（内部値の列も同様）
　- 処理種別の選択肢に「異常データ存在チェック」を追加
・データ検索条件設定 シート
　- 「条件演算子」列を追加（equal / not equal）
・日付型の列も指定できるようになったため、項目名から「timestamp」を除く変更
　- 期間経過チェック用：timestampカラム名 -&gt; 期間経過チェック用：日付／日時カラム名
　- 期間経過チェック用：timestamp要経過日数 -&gt; 期間経過チェック用：要経過日数
　- 論理廃止：更新用timestampカラム名 -&gt; 論理廃止：更新用日付／日時カラム名（関連テーブル処理設定 シートも同様）
・housekeep DB設定 シート
　- 「期間経過チェック用：timestampカラム型」列を削除（SQLの生成に使われておらず不要なため）
　- 処理種別の選択肢に「更新」を追加
・更新項目設定 シートを追加（処理種別が「更新」のタスクで書き換える列と値を設定）</t>
  </si>
  <si>
    <t>2.0.0</t>
  </si>
  <si>
    <t>期間経過チェック項目</t>
  </si>
  <si>
    <t>論理廃止用項目</t>
  </si>
  <si>
    <t>条件演算子</t>
  </si>
  <si>
    <t>更新項目設定</t>
  </si>
  <si>
    <t>更新カラム名</t>
  </si>
  <si>
    <t>更新値種別</t>
  </si>
  <si>
    <t>更新値種別（内部値）</t>
  </si>
  <si>
    <t>更新カラム型リテラル記号</t>
  </si>
  <si>
    <t>更新カラム値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</si>
</sst>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5">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hair">
        <color theme="0"/>
      </left>
      <right/>
      <top style="hair">
        <color theme="0"/>
      </top>
      <bottom/>
      <diagonal/>
    </border>
    <border>
      <left style="hair">
        <color theme="0"/>
      </left>
      <right style="hair">
        <color theme="0"/>
      </right>
      <top style="hair">
        <color theme="0"/>
      </top>
      <bottom/>
      <diagonal/>
    </border>
    <border>
      <left style="hair">
        <color theme="0"/>
      </left>
      <right/>
      <top/>
      <bottom/>
      <diagonal/>
    </border>
    <border>
      <left style="hair">
        <color theme="0"/>
      </left>
      <right style="hair">
        <color theme="0"/>
      </right>
      <top/>
      <bottom/>
      <diagonal/>
    </border>
    <border>
      <left style="hair">
        <color theme="0"/>
      </left>
      <right style="hair">
        <color theme="0"/>
      </right>
      <top style="hair">
        <color theme="0"/>
      </top>
      <bottom style="hair">
        <color theme="0"/>
      </bottom>
      <diagonal/>
    </border>
    <border>
      <left style="hair">
        <color theme="0"/>
      </left>
      <right/>
      <top style="hair">
        <color theme="0"/>
      </top>
      <bottom style="hair">
        <color theme="0"/>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7">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49" fontId="6" fillId="0" borderId="0" xfId="1" applyNumberFormat="1" applyFont="1">
      <alignment vertical="center"/>
    </xf>
    <xf numFmtId="0" fontId="7" fillId="0" borderId="2" xfId="1" applyFont="1" applyBorder="1">
      <alignment vertical="center"/>
    </xf>
    <xf numFmtId="0" fontId="7" fillId="0" borderId="3" xfId="1" applyFont="1" applyBorder="1">
      <alignment vertical="center"/>
    </xf>
    <xf numFmtId="0" fontId="7" fillId="0" borderId="5" xfId="1" applyFont="1" applyBorder="1">
      <alignment vertical="center"/>
    </xf>
    <xf numFmtId="0" fontId="7" fillId="0" borderId="5" xfId="0" applyFont="1" applyBorder="1">
      <alignment vertical="center"/>
    </xf>
    <xf numFmtId="0" fontId="7" fillId="3" borderId="3" xfId="0" applyFont="1" applyFill="1" applyBorder="1">
      <alignment vertical="center"/>
    </xf>
    <xf numFmtId="0" fontId="7" fillId="4" borderId="3" xfId="0" applyFont="1" applyFill="1" applyBorder="1">
      <alignment vertical="center"/>
    </xf>
    <xf numFmtId="0" fontId="7" fillId="4" borderId="2" xfId="0" applyFont="1" applyFill="1" applyBorder="1">
      <alignment vertical="center"/>
    </xf>
    <xf numFmtId="0" fontId="7" fillId="0" borderId="4" xfId="0" applyFont="1" applyBorder="1">
      <alignment vertical="center"/>
    </xf>
    <xf numFmtId="0" fontId="7" fillId="0" borderId="3" xfId="0" applyFont="1" applyBorder="1">
      <alignment vertical="center"/>
    </xf>
    <xf numFmtId="0" fontId="7" fillId="0" borderId="2" xfId="0" applyFont="1" applyBorder="1">
      <alignment vertical="center"/>
    </xf>
    <xf numFmtId="0" fontId="9" fillId="3" borderId="6" xfId="1" applyFont="1" applyFill="1" applyBorder="1" applyAlignment="1">
      <alignment horizontal="center" vertical="center"/>
    </xf>
    <xf numFmtId="0" fontId="10" fillId="4" borderId="6" xfId="1" applyFont="1" applyFill="1" applyBorder="1" applyAlignment="1">
      <alignment horizontal="center" vertical="center"/>
    </xf>
    <xf numFmtId="0" fontId="10" fillId="4" borderId="7" xfId="1" applyFont="1" applyFill="1" applyBorder="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15"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38" dataDxfId="37">
  <autoFilter ref="A3:D9" xr:uid="{00000000-0009-0000-0100-000005000000}"/>
  <tableColumns count="4">
    <tableColumn id="1" xr3:uid="{E4142994-3892-C340-9A65-88F80365D8CE}" name="日付" dataDxfId="36"/>
    <tableColumn id="2" xr3:uid="{35BACA5E-E809-0844-BAB8-78CB7B6B343E}" name="バージョン" dataDxfId="35"/>
    <tableColumn id="3" xr3:uid="{C4E826C9-5641-E048-9706-B0754516BA47}" name="修正事項" dataDxfId="34"/>
    <tableColumn id="4" xr3:uid="{10D446C7-4721-E74C-863B-894EBEBABA4B}" name="修正者" dataDxfId="3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2">
  <autoFilter ref="A1:B3" xr:uid="{24155060-B8ED-8845-8CC4-DA9C5F0847AB}"/>
  <tableColumns count="2">
    <tableColumn id="1" xr3:uid="{98E4E7E5-8F2D-A64D-A202-DFFC12164331}" name="item" dataDxfId="31"/>
    <tableColumn id="2" xr3:uid="{E3BF9435-59E2-8948-93E9-5462EEBA2F6D}" name="valu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4:I5" insertRow="1" totalsRowShown="0" headerRowDxfId="29" dataDxfId="28">
  <autoFilter ref="A4:I5" xr:uid="{00000000-0009-0000-0100-000002000000}"/>
  <tableColumns count="9">
    <tableColumn id="1" xr3:uid="{6F9607F2-5B3B-AC43-9B81-3332FF1A0DAD}" name="DB接続ID" dataDxfId="27"/>
    <tableColumn id="2" xr3:uid="{EB1F7206-30E2-EA43-A8CF-9AD4F9A14E33}" name="driver名" dataDxfId="26"/>
    <tableColumn id="3" xr3:uid="{4D55D82B-BDD3-2B46-A21D-0450B9F1910B}" name="接続url : protocol" dataDxfId="25" dataCellStyle="標準 2"/>
    <tableColumn id="4" xr3:uid="{84D0845B-C5EE-9047-A1AB-EE336A75EBAD}" name="接続url : サーバ" dataDxfId="24" dataCellStyle="標準 2"/>
    <tableColumn id="5" xr3:uid="{6197D9F5-186B-D44E-ADCB-89378D8B3702}" name="接続url : port" dataDxfId="23" dataCellStyle="標準 2"/>
    <tableColumn id="6" xr3:uid="{26B865D4-D13A-9C4C-B104-C634122F988F}" name="接続url : database" dataDxfId="22" dataCellStyle="標準 2"/>
    <tableColumn id="7" xr3:uid="{046864C3-26A2-7B44-B07A-EAB68FAF2EEA}" name="接続url : schema" dataDxfId="21" dataCellStyle="標準 2"/>
    <tableColumn id="8" xr3:uid="{4A5FE8C4-A0F3-3E4A-9BB5-642C226504CF}" name="ユーザ名" dataDxfId="20" dataCellStyle="標準 2"/>
    <tableColumn id="9" xr3:uid="{6A963E93-AA2B-944F-A127-0CD6F7E61369}" name="password" dataDxfId="19"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4:N5" totalsRowShown="0" headerRowDxfId="55" dataDxfId="54">
  <autoFilter ref="A4:N5" xr:uid="{00000000-0009-0000-0100-000002000000}"/>
  <tableColumns count="14">
    <tableColumn id="1" xr3:uid="{CBD51E9F-618C-754C-8BA6-0B46FCE3F82F}" name="処理ID" dataDxfId="53"/>
    <tableColumn id="12" xr3:uid="{5E33A481-4C3C-A049-B253-3EC944DDB6EC}" name="DB接続ID" dataDxfId="52" dataCellStyle="標準 2"/>
    <tableColumn id="2" xr3:uid="{AADC801E-ABC4-9E4F-8EFF-3383030B2A4B}" name="処理種別" dataDxfId="51"/>
    <tableColumn id="15" xr3:uid="{F58118F0-6716-6C42-853A-3FBAEE07F4E8}" name="処理種別（内部値）" dataDxfId="50">
      <calculatedColumnFormula array="1">_xlfn.IFS(テーブル32[[#This Row],[処理種別]]="論理廃止","SOFT_DELETE",テーブル32[[#This Row],[処理種別]]="削除","HARD_DELETE",テーブル32[[#This Row],[処理種別]]="異常データ存在チェック","ABNORMAL_DATA_CHECK",テーブル32[[#This Row],[処理種別]]="更新","UPDATE",TRUE,"")</calculatedColumnFormula>
    </tableColumn>
    <tableColumn id="3" xr3:uid="{6C98AD64-A3D3-F44E-A881-8EFCEA1F9F67}" name="テーブル名" dataDxfId="49" dataCellStyle="標準 2"/>
    <tableColumn id="4" xr3:uid="{A38A3149-447A-8548-9729-49CE9E074B36}" name="IDカラム名" dataDxfId="48" dataCellStyle="標準 2"/>
    <tableColumn id="10" xr3:uid="{B15AF0F8-272C-B943-9D75-81A8797BC598}" name="IDカラム型リテラル記号" dataDxfId="47"/>
    <tableColumn id="5" xr3:uid="{6FE6A1FF-15C9-7545-B254-7B2C29EF168D}" name="期間経過チェック用：日付／日時カラム名" dataDxfId="46" dataCellStyle="標準 2"/>
    <tableColumn id="6" xr3:uid="{94EB7746-8D75-EE47-A2F3-81D397D26AE1}" name="期間経過チェック用：要経過日数" dataDxfId="44" dataCellStyle="標準 2"/>
    <tableColumn id="7" xr3:uid="{62ADB4F3-1C59-7F4B-819E-B49B0ABB889C}" name="削除フラグカラム名" dataDxfId="43" dataCellStyle="標準 2"/>
    <tableColumn id="8" xr3:uid="{0EB6A694-7E00-B64C-AF69-22B6C7E1C560}" name="論理廃止：更新用日付／日時カラム名" dataDxfId="42" dataCellStyle="標準 2"/>
    <tableColumn id="9" xr3:uid="{0A6924E1-C0CB-AF40-A208-E0E96A257245}" name="論理廃止：更新用ユーザIDカラム名" dataDxfId="41" dataCellStyle="標準 2"/>
    <tableColumn id="14" xr3:uid="{93BF3B4F-D2E8-A640-A768-A230439878D9}" name="論理廃止：更新用ユーザIDカラム型リテラル記号" dataDxfId="40" dataCellStyle="標準 2"/>
    <tableColumn id="13" xr3:uid="{DE6ACC44-9137-0840-9711-E0D04FCC851F}" name="論理廃止：更新用ユーザIDカラム値" dataDxfId="39"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4:E5" insertRow="1" totalsRowShown="0" headerRowDxfId="18">
  <autoFilter ref="A4:E5" xr:uid="{00000000-0009-0000-0100-000002000000}"/>
  <tableColumns count="5">
    <tableColumn id="1" xr3:uid="{0B02141A-0F5F-8849-982C-6C0A6A7BEE4F}" name="処理ID" dataDxfId="17" dataCellStyle="標準 2"/>
    <tableColumn id="12" xr3:uid="{69A08ECC-4076-9E48-8CE9-3FABB073CA81}" name="条件カラム名" dataDxfId="16"/>
    <tableColumn id="13" xr3:uid="{6E5A0673-F7B6-4381-8294-0F4068A241E9}" name="条件演算子" dataDxfId="16"/>
    <tableColumn id="2" xr3:uid="{511F37DB-74E3-394C-9204-B1C6CA623CD0}" name="条件カラム型リテラル記号" dataDxfId="15"/>
    <tableColumn id="3" xr3:uid="{2F474AF9-6428-D446-9D8C-0FEF2C86FE1D}" name="条件カラム値" dataDxfId="14"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4:L5" totalsRowShown="0" headerRowDxfId="13" dataDxfId="12">
  <autoFilter ref="A4:L5" xr:uid="{00000000-0009-0000-0100-000002000000}"/>
  <tableColumns count="12">
    <tableColumn id="1" xr3:uid="{65C86A53-0A13-8F47-916D-E06475BCECE3}" name="処理ID" dataDxfId="11"/>
    <tableColumn id="12" xr3:uid="{987F2B9C-94EA-9F41-A4C1-6D7606B12BAC}" name="関連テーブル処理パターン" dataDxfId="10"/>
    <tableColumn id="10" xr3:uid="{4A3F5F45-559C-3B48-8E59-FDBCE79B21C8}" name="関連テーブル処理パターン（内部値）" dataDxfId="9">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8"/>
    <tableColumn id="2" xr3:uid="{3B40126A-13DD-E04B-A86B-9387EB6006A1}" name="関連テーブル名" dataDxfId="7" dataCellStyle="標準 2"/>
    <tableColumn id="3" xr3:uid="{59ED585B-1BCF-DB41-A333-2655E74C710D}" name="関連テーブルIDカラム名" dataDxfId="6" dataCellStyle="標準 2"/>
    <tableColumn id="14" xr3:uid="{75144EA6-AFC2-3646-9A0E-DD4A2D917411}" name="関連テーブルIDカラム型リテラル記号" dataDxfId="5" dataCellStyle="標準 2"/>
    <tableColumn id="4" xr3:uid="{684AF203-54CE-5A42-8441-2636BF604DAF}" name="削除フラグカラム名" dataDxfId="4"/>
    <tableColumn id="5" xr3:uid="{1D070257-74D6-6746-B460-ACB59A1770E6}" name="論理廃止：更新用日付／日時カラム名" dataDxfId="3"/>
    <tableColumn id="6" xr3:uid="{59287FEB-061F-B946-B814-312CDD2F482D}" name="論理廃止：更新用ユーザIDカラム名" dataDxfId="2"/>
    <tableColumn id="7" xr3:uid="{E0734288-8DC3-C342-98A6-DBC50A55CEF9}" name="論理廃止：更新用ユーザIDカラム型リテラル記号" dataDxfId="1"/>
    <tableColumn id="8" xr3:uid="{D5E8A958-B06D-554D-B183-49DD307AC86A}" name="論理廃止：更新用ユーザIDカラム値" dataDxfId="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1B89BDC-3CC6-4DD3-BE32-9A28850B2E61}" name="テーブル7" displayName="テーブル7" ref="A4:F5" insertRow="1" totalsRowShown="0" headerRowDxfId="18">
  <autoFilter ref="A4:F5" xr:uid="{84CDA143-0714-4713-8F2C-8E2ADB62D176}"/>
  <tableColumns count="6">
    <tableColumn id="1" xr3:uid="{D9FB13E7-283E-4973-9D8F-AD7FC2EC6473}" name="処理ID" dataDxfId="17" dataCellStyle="標準 2"/>
    <tableColumn id="2" xr3:uid="{4B0B84B8-778E-4917-B2A1-D58F4765B69F}" name="更新カラム名" dataDxfId="16"/>
    <tableColumn id="3" xr3:uid="{AA8CE8B6-8F33-4C49-8B1C-D0975AA57F68}" name="更新値種別" dataDxfId="16"/>
    <tableColumn id="4" xr3:uid="{31F8B758-90FF-4085-8587-8CB96AC32A8B}" name="更新値種別（内部値）" dataDxfId="16">
      <calculatedColumnFormula array="1">_xlfn.IFS(テーブル7[[#This Row],[更新値種別]]="固定値","FIXED_VALUE",テーブル7[[#This Row],[更新値種別]]="現在日時","CURRENT_TIMESTAMP",テーブル7[[#This Row],[更新値種別]]="NULL","NULL",TRUE,"")</calculatedColumnFormula>
    </tableColumn>
    <tableColumn id="5" xr3:uid="{94F653A5-DD8B-491C-9AB4-1D4B7D196DB6}" name="更新カラム型リテラル記号" dataDxfId="16"/>
    <tableColumn id="6" xr3:uid="{96E6F231-ED88-4FB0-85D3-7E553B0DBFE9}" name="更新カラム値" dataDxfId="14"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abSelected="1" zoomScaleNormal="100" workbookViewId="0">
      <pane ySplit="3" topLeftCell="A4" activePane="bottomLeft" state="frozen"/>
      <selection pane="bottomLeft"/>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49</v>
      </c>
      <c r="D6" s="11" t="s">
        <v>47</v>
      </c>
    </row>
    <row r="7" spans="1:4" ht="128" x14ac:dyDescent="0.2">
      <c r="A7" s="17">
        <v>45766</v>
      </c>
      <c r="B7" s="16" t="s">
        <v>48</v>
      </c>
      <c r="C7" s="18" t="s">
        <v>54</v>
      </c>
      <c r="D7" s="11" t="s">
        <v>47</v>
      </c>
    </row>
    <row r="8" spans="1:4" ht="176" x14ac:dyDescent="0.2">
      <c r="A8" s="17">
        <v>45780</v>
      </c>
      <c r="B8" s="16" t="s">
        <v>60</v>
      </c>
      <c r="C8" s="18" t="s">
        <v>66</v>
      </c>
      <c r="D8" s="22" t="s">
        <v>47</v>
      </c>
    </row>
    <row r="9" spans="1:4" ht="288" x14ac:dyDescent="0.2">
      <c r="A9" s="17">
        <v>46256</v>
      </c>
      <c r="B9" s="16" t="s">
        <v>74</v>
      </c>
      <c r="C9" s="18" t="s">
        <v>75</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3" sqref="B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76</v>
      </c>
    </row>
    <row r="3" spans="1:2" x14ac:dyDescent="0.2">
      <c r="A3" s="20" t="s">
        <v>59</v>
      </c>
      <c r="B3" s="21" t="s">
        <v>61</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row>
    <row r="2" spans="1:3" x14ac:dyDescent="0.2">
      <c r="A2" s="10" t="s">
        <v>20</v>
      </c>
      <c r="B2" s="10" t="s">
        <v>43</v>
      </c>
      <c r="C2" s="10"/>
    </row>
    <row r="3" spans="1:3" x14ac:dyDescent="0.2">
      <c r="A3" s="10"/>
      <c r="B3" s="10" t="s">
        <v>21</v>
      </c>
      <c r="C3" s="10"/>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5"/>
  <sheetViews>
    <sheetView workbookViewId="0"/>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67</v>
      </c>
    </row>
    <row r="3" spans="1:9" x14ac:dyDescent="0.2">
      <c r="A3" s="6" t="s">
        <v>26</v>
      </c>
    </row>
    <row r="4" spans="1:9" x14ac:dyDescent="0.2">
      <c r="A4" s="25" t="s">
        <v>12</v>
      </c>
      <c r="B4" s="25" t="s">
        <v>13</v>
      </c>
      <c r="C4" s="32" t="s">
        <v>14</v>
      </c>
      <c r="D4" s="32" t="s">
        <v>16</v>
      </c>
      <c r="E4" s="32" t="s">
        <v>15</v>
      </c>
      <c r="F4" s="32" t="s">
        <v>18</v>
      </c>
      <c r="G4" s="32" t="s">
        <v>17</v>
      </c>
      <c r="H4" s="32" t="s">
        <v>19</v>
      </c>
      <c r="I4" s="33" t="s">
        <v>3</v>
      </c>
    </row>
    <row r="5" spans="1:9" x14ac:dyDescent="0.2">
      <c r="B5" s="8"/>
      <c r="C5" s="8"/>
      <c r="D5" s="8"/>
      <c r="E5" s="8"/>
      <c r="F5" s="8"/>
      <c r="G5" s="8"/>
      <c r="H5" s="8"/>
      <c r="I5" s="8"/>
    </row>
  </sheetData>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N14"/>
  <sheetViews>
    <sheetView zoomScale="111"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8" width="38" style="6" bestFit="1" customWidth="1"/>
    <col min="9" max="9" width="40" style="6" bestFit="1" customWidth="1"/>
    <col min="10" max="10" width="44.33203125" style="6" bestFit="1" customWidth="1"/>
    <col min="11" max="11" width="34.33203125" style="6" bestFit="1" customWidth="1"/>
    <col min="12" max="12" width="33.33203125" style="6" bestFit="1" customWidth="1"/>
    <col min="13" max="13" width="44.83203125" style="6" bestFit="1" customWidth="1"/>
    <col min="14" max="14" width="33.33203125" style="6" bestFit="1" customWidth="1"/>
    <col min="15" max="16384" width="7.5" style="6"/>
  </cols>
  <sheetData>
    <row r="1" spans="1:14" x14ac:dyDescent="0.2">
      <c r="A1" s="1" t="s">
        <v>68</v>
      </c>
      <c r="B1" s="1"/>
    </row>
    <row r="3" spans="1:14" x14ac:dyDescent="0.2">
      <c r="A3" s="6" t="s">
        <v>26</v>
      </c>
      <c r="H3" s="34" t="s">
        <v>77</v>
      </c>
      <c r="I3" s="34"/>
      <c r="J3" s="35" t="s">
        <v>78</v>
      </c>
      <c r="K3" s="35"/>
      <c r="L3" s="35"/>
      <c r="M3" s="35"/>
      <c r="N3" s="36"/>
    </row>
    <row r="4" spans="1:14" x14ac:dyDescent="0.2">
      <c r="A4" s="26" t="s">
        <v>62</v>
      </c>
      <c r="B4" s="26" t="s">
        <v>24</v>
      </c>
      <c r="C4" s="26" t="s">
        <v>71</v>
      </c>
      <c r="D4" s="26" t="s">
        <v>72</v>
      </c>
      <c r="E4" s="27" t="s">
        <v>63</v>
      </c>
      <c r="F4" s="27" t="s">
        <v>64</v>
      </c>
      <c r="G4" s="31" t="s">
        <v>65</v>
      </c>
      <c r="H4" s="28" t="s">
        <v>50</v>
      </c>
      <c r="I4" s="28" t="s">
        <v>52</v>
      </c>
      <c r="J4" s="29" t="s">
        <v>53</v>
      </c>
      <c r="K4" s="29" t="s">
        <v>58</v>
      </c>
      <c r="L4" s="29" t="s">
        <v>55</v>
      </c>
      <c r="M4" s="29" t="s">
        <v>57</v>
      </c>
      <c r="N4" s="30" t="s">
        <v>56</v>
      </c>
    </row>
    <row r="5" spans="1:14" x14ac:dyDescent="0.2">
      <c r="A5" s="8"/>
      <c r="C5" s="8"/>
      <c r="D5" s="8" t="str" cm="1">
        <f t="array" ref="D5">_xlfn.IFS(テーブル32[[#This Row],[処理種別]]="論理廃止","SOFT_DELETE",テーブル32[[#This Row],[処理種別]]="削除","HARD_DELETE",テーブル32[[#This Row],[処理種別]]="異常データ存在チェック","ABNORMAL_DATA_CHECK",テーブル32[[#This Row],[処理種別]]="更新","UPDATE",TRUE,"")</f>
        <v/>
      </c>
      <c r="E5" s="8"/>
      <c r="F5" s="8"/>
      <c r="G5" s="8"/>
      <c r="H5" s="8"/>
      <c r="I5" s="8"/>
      <c r="J5" s="8"/>
      <c r="M5" s="8"/>
    </row>
    <row r="12" spans="1:14" x14ac:dyDescent="0.2">
      <c r="A12" s="19"/>
    </row>
    <row r="13" spans="1:14" x14ac:dyDescent="0.2">
      <c r="A13" s="19"/>
    </row>
    <row r="14" spans="1:14" x14ac:dyDescent="0.2">
      <c r="A14" s="19"/>
    </row>
  </sheetData>
  <mergeCells count="2">
    <mergeCell ref="H3:I3"/>
    <mergeCell ref="J3:N3"/>
  </mergeCells>
  <phoneticPr fontId="1"/>
  <dataValidations count="2">
    <dataValidation type="list" allowBlank="1" showInputMessage="1" showErrorMessage="1" sqref="C5" xr:uid="{8F6F98C1-595C-9F49-B250-21CD2634841D}">
      <formula1>"論理廃止,削除,異常データ存在チェック,更新"</formula1>
    </dataValidation>
    <dataValidation type="list" allowBlank="1" showInputMessage="1" showErrorMessage="1" sqref="G5 M5" xr:uid="{7B8B2790-6C59-604D-89F1-3BD24DE216A5}">
      <formula1>"quotes('),(none)"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M6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E6"/>
  <sheetViews>
    <sheetView workbookViewId="0"/>
  </sheetViews>
  <sheetFormatPr baseColWidth="10" defaultColWidth="7.5" defaultRowHeight="15" x14ac:dyDescent="0.2"/>
  <cols>
    <col min="1" max="1" width="40.5" style="6" customWidth="1"/>
    <col min="2" max="2" width="23.83203125" style="6" customWidth="1"/>
    <col min="3" max="3" width="22" style="6" customWidth="1"/>
    <col min="4" max="4" width="25.5" style="6" bestFit="1" customWidth="1"/>
    <col min="5" max="5" width="20.1640625" style="6" customWidth="1"/>
    <col min="6" max="16384" width="7.5" style="6"/>
  </cols>
  <sheetData>
    <row r="1" spans="1:5" x14ac:dyDescent="0.2">
      <c r="A1" s="1" t="s">
        <v>70</v>
      </c>
      <c r="B1" s="1"/>
    </row>
    <row r="3" spans="1:5" x14ac:dyDescent="0.2">
      <c r="A3" s="6" t="s">
        <v>26</v>
      </c>
    </row>
    <row r="4" spans="1:5" x14ac:dyDescent="0.2">
      <c r="A4" s="25" t="s">
        <v>25</v>
      </c>
      <c r="B4" s="25" t="s">
        <v>27</v>
      </c>
      <c r="C4" s="25" t="s">
        <v>79</v>
      </c>
      <c r="D4" s="32" t="s">
        <v>28</v>
      </c>
      <c r="E4" s="33" t="s">
        <v>29</v>
      </c>
    </row>
    <row r="5" spans="1:5" x14ac:dyDescent="0.2">
      <c r="B5" s="8"/>
      <c r="C5" s="8"/>
      <c r="D5" s="8"/>
      <c r="E5" s="7"/>
    </row>
    <row r="6" spans="1:5" x14ac:dyDescent="0.2">
      <c r="B6" s="8"/>
      <c r="C6" s="8"/>
      <c r="D6" s="8"/>
      <c r="E6" s="7"/>
    </row>
  </sheetData>
  <phoneticPr fontId="1"/>
  <dataValidations count="2">
    <dataValidation type="list" allowBlank="1" showInputMessage="1" showErrorMessage="1" sqref="D5:D6" xr:uid="{F3EDCD97-3DDD-0A4D-ACDF-687A95CDC907}">
      <formula1>"quotes('),(none)"</formula1>
    </dataValidation>
    <dataValidation type="list" allowBlank="1" showInputMessage="1" showErrorMessage="1" sqref="C5:C6" xr:uid="{95E99013-DC8A-4921-B883-052B0E90F976}">
      <formula1>"equal,not equal"</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9"/>
  <sheetViews>
    <sheetView workbookViewId="0"/>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69</v>
      </c>
      <c r="B1" s="1"/>
      <c r="C1" s="1"/>
      <c r="D1" s="1"/>
    </row>
    <row r="3" spans="1:12" x14ac:dyDescent="0.2">
      <c r="A3" s="6" t="s">
        <v>26</v>
      </c>
      <c r="H3" s="35" t="s">
        <v>78</v>
      </c>
      <c r="I3" s="35"/>
      <c r="J3" s="35"/>
      <c r="K3" s="35"/>
      <c r="L3" s="36"/>
    </row>
    <row r="4" spans="1:12" x14ac:dyDescent="0.2">
      <c r="A4" s="25" t="s">
        <v>25</v>
      </c>
      <c r="B4" s="25" t="s">
        <v>32</v>
      </c>
      <c r="C4" s="25" t="s">
        <v>73</v>
      </c>
      <c r="D4" s="25" t="s">
        <v>30</v>
      </c>
      <c r="E4" s="32" t="s">
        <v>31</v>
      </c>
      <c r="F4" s="32" t="s">
        <v>44</v>
      </c>
      <c r="G4" s="24" t="s">
        <v>45</v>
      </c>
      <c r="H4" s="29" t="s">
        <v>53</v>
      </c>
      <c r="I4" s="29" t="s">
        <v>37</v>
      </c>
      <c r="J4" s="29" t="s">
        <v>38</v>
      </c>
      <c r="K4" s="29" t="s">
        <v>41</v>
      </c>
      <c r="L4" s="30" t="s">
        <v>39</v>
      </c>
    </row>
    <row r="5" spans="1:12" x14ac:dyDescent="0.2">
      <c r="A5" s="8"/>
      <c r="B5" s="8"/>
      <c r="C5" s="8" t="str" cm="1">
        <f t="array" ref="C5">_xlfn.IFS(テーブル3236[[#This Row],[関連テーブル処理パターン]]="論理廃止／削除","DELETE",テーブル3236[[#This Row],[関連テーブル処理パターン]]="存在チェック","CHECK_AND_SKIP_DELETE",TRUE,"")</f>
        <v/>
      </c>
      <c r="D5" s="8"/>
      <c r="E5" s="8"/>
      <c r="F5" s="7"/>
      <c r="G5" s="8"/>
    </row>
    <row r="6" spans="1:12" x14ac:dyDescent="0.2">
      <c r="A6" s="8"/>
      <c r="B6" s="19"/>
      <c r="D6" s="19"/>
      <c r="E6" s="19"/>
      <c r="F6" s="23"/>
      <c r="G6" s="19"/>
      <c r="H6" s="19"/>
      <c r="I6" s="19"/>
      <c r="J6" s="19"/>
      <c r="K6" s="19"/>
      <c r="L6" s="19"/>
    </row>
    <row r="7" spans="1:12" x14ac:dyDescent="0.2">
      <c r="A7" s="8"/>
      <c r="B7" s="19"/>
      <c r="D7" s="19"/>
      <c r="E7" s="19"/>
      <c r="F7" s="23"/>
      <c r="G7" s="19"/>
      <c r="H7" s="19"/>
      <c r="I7" s="19"/>
      <c r="J7" s="19"/>
      <c r="K7" s="19"/>
      <c r="L7" s="19"/>
    </row>
    <row r="8" spans="1:12" x14ac:dyDescent="0.2">
      <c r="A8" s="19"/>
    </row>
    <row r="9" spans="1:12" x14ac:dyDescent="0.2">
      <c r="A9" s="19"/>
    </row>
  </sheetData>
  <mergeCells count="1">
    <mergeCell ref="H3:L3"/>
  </mergeCells>
  <phoneticPr fontId="1"/>
  <dataValidations count="3">
    <dataValidation type="list" allowBlank="1" showInputMessage="1" showErrorMessage="1" sqref="G5:G7" xr:uid="{F353BD13-7B61-C54A-8C2B-F025D3AA26B4}">
      <formula1>"quotes('),(none)"</formula1>
    </dataValidation>
    <dataValidation type="list" allowBlank="1" showInputMessage="1" showErrorMessage="1" sqref="B6:B7" xr:uid="{9B87489A-16BF-C040-BD48-9AF02F137779}">
      <formula1>"関連テーブル論理廃止／削除,削除対象テーブル論理廃止／削除のためのデータチェック"</formula1>
    </dataValidation>
    <dataValidation type="list" allowBlank="1" showInputMessage="1" showErrorMessage="1" sqref="B5"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E68B6-2E08-48F9-BBA8-C0A604BCABE6}">
  <dimension ref="A1:F6"/>
  <sheetViews>
    <sheetView workbookViewId="0"/>
  </sheetViews>
  <sheetFormatPr baseColWidth="10" defaultColWidth="7.5" defaultRowHeight="15" x14ac:dyDescent="0.2"/>
  <cols>
    <col min="1" max="1" width="40.5" style="6" customWidth="1"/>
    <col min="2" max="2" width="23.83203125" style="6" customWidth="1"/>
    <col min="3" max="3" width="22" style="6" customWidth="1"/>
    <col min="4" max="4" width="25.5" style="6" hidden="1" customWidth="1"/>
    <col min="5" max="5" width="28" style="6" customWidth="1"/>
    <col min="6" max="6" width="22" style="6" customWidth="1"/>
    <col min="7" max="16384" width="7.5" style="6"/>
  </cols>
  <sheetData>
    <row r="1" spans="1:6" x14ac:dyDescent="0.2">
      <c r="A1" s="1" t="s">
        <v>80</v>
      </c>
      <c r="B1" s="1"/>
    </row>
    <row r="3" spans="1:6" x14ac:dyDescent="0.2">
      <c r="A3" s="6" t="s">
        <v>26</v>
      </c>
    </row>
    <row r="4" spans="1:6" x14ac:dyDescent="0.2">
      <c r="A4" s="25" t="s">
        <v>25</v>
      </c>
      <c r="B4" s="25" t="s">
        <v>81</v>
      </c>
      <c r="C4" s="25" t="s">
        <v>82</v>
      </c>
      <c r="D4" s="25" t="s">
        <v>83</v>
      </c>
      <c r="E4" s="32" t="s">
        <v>84</v>
      </c>
      <c r="F4" s="33" t="s">
        <v>85</v>
      </c>
    </row>
    <row r="5" spans="1:6" x14ac:dyDescent="0.2">
      <c r="B5" s="8"/>
      <c r="C5" s="8"/>
      <c r="D5" s="8" t="str" cm="1">
        <f t="array" ref="D5">_xlfn.IFS(テーブル7[[#This Row],[更新値種別]]="固定値","FIXED_VALUE",テーブル7[[#This Row],[更新値種別]]="現在日時","CURRENT_TIMESTAMP",テーブル7[[#This Row],[更新値種別]]="NULL","NULL",TRUE,"")</f>
        <v/>
      </c>
      <c r="E5" s="8"/>
      <c r="F5" s="7"/>
    </row>
    <row r="6" spans="1:6" x14ac:dyDescent="0.2">
      <c r="B6" s="8"/>
      <c r="C6" s="8"/>
      <c r="D6" s="8"/>
      <c r="E6" s="8"/>
      <c r="F6" s="7"/>
    </row>
  </sheetData>
  <phoneticPr fontId="1"/>
  <dataValidations count="2">
    <dataValidation type="list" allowBlank="1" showInputMessage="1" showErrorMessage="1" sqref="C5:C6" xr:uid="{41994EA3-6DC0-41E7-9190-0288E0543431}">
      <formula1>"固定値,現在日時,NULL"</formula1>
    </dataValidation>
    <dataValidation type="list" allowBlank="1" showInputMessage="1" showErrorMessage="1" sqref="E5:E6" xr:uid="{38776FA8-26CC-4B28-988A-ECF295377112}">
      <formula1>"quotes('),(none)"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fmt変更履歴</vt:lpstr>
      <vt:lpstr>Info</vt:lpstr>
      <vt:lpstr>dropdown</vt:lpstr>
      <vt:lpstr>DB接続設定</vt:lpstr>
      <vt:lpstr>housekeep DB設定</vt:lpstr>
      <vt:lpstr>データ検索条件設定</vt:lpstr>
      <vt:lpstr>関連テーブル処理設定</vt:lpstr>
      <vt:lpstr>更新項目設定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2026-09-08T23:37:51Z</dcterms:modified>
</cp:coreProperties>
</file>