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15D561EF-532B-0B46-A38C-448E2F4E3AAF}" xr6:coauthVersionLast="47" xr6:coauthVersionMax="47" xr10:uidLastSave="{00000000-0000-0000-0000-000000000000}"/>
  <bookViews>
    <workbookView xWindow="0" yWindow="500" windowWidth="28800" windowHeight="16640"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4" l="1" a="1"/>
  <c r="C6" i="14" s="1"/>
  <c r="D6" i="10" a="1"/>
  <c r="D6"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5"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<sst xmlns="http://schemas.openxmlformats.org/spreadsheetml/2006/main" count="113" uniqueCount="95">
  <si>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</si>
  <si>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</si>
  <si>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</si>
  <si>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</si>
  <si>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</si>
  <si>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</si>
  <si>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</si>
  <si>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</si>
  <si>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</si>
  <si>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</si>
  <si>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</si>
  <si>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</si>
  <si>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</si>
  <si>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</si>
  <si>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</si>
  <si>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</si>
  <si>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</si>
  <si>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</si>
  <si>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</si>
  <si>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</si>
  <si>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</si>
  <si>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</si>
  <si>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</si>
  <si>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</si>
  <si>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</si>
  <si>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</si>
  <si>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</si>
  <si>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</si>
  <si>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</si>
  <si>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</si>
  <si>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</si>
  <si>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</si>
  <si>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</si>
  <si>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</si>
  <si>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</si>
  <si>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</si>
  <si>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</si>
  <si>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</si>
  <si>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</si>
  <si>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</si>
  <si>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</si>
  <si>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</si>
  <si>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</si>
  <si>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</si>
  <si>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</si>
  <si>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</si>
  <si>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</si>
  <si>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</si>
  <si>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論理廃止：更新用ユーザIDカラム名」、「論理廃止：更新用ユーザIDカラム型リテラル記号」、「論理廃止：更新用ユーザIDカラム値」は、「論理廃止／削除」が「削除」の場合は空欄、「論理廃止」の場合は任意。</t>
    <phoneticPr fontId="1"/>
  </si>
  <si>
    <t>※「接続url : schema」は、default schema（ユーザ名と同じスキーマ）でない場合のみ設定</t>
    <phoneticPr fontId="1"/>
  </si>
  <si>
    <t>※「論理廃止：更新用timestampカラム名」は、「論理廃止／削除」が「削除」の場合は空欄、「論理廃止」の場合は任意。論理廃止時にtimestampを更新する項目がある場合に指定。値は自動で現在時刻を設定。</t>
    <rPh sb="26" eb="27">
      <t xml:space="preserve">サクジョ </t>
    </rPh>
    <rPh sb="32" eb="34">
      <t xml:space="preserve">クウラン </t>
    </rPh>
    <rPh sb="45" eb="47">
      <t xml:space="preserve">ニンイ。 </t>
    </rPh>
    <rPh sb="57" eb="58">
      <t xml:space="preserve">アタイハジドウデ </t>
    </rPh>
    <rPh sb="62" eb="66">
      <t xml:space="preserve">ゲンザイジコクヲシテイ </t>
    </rPh>
    <rPh sb="67" eb="69">
      <t xml:space="preserve">セッテイ </t>
    </rPh>
    <phoneticPr fontId="1"/>
  </si>
  <si>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</si>
  <si>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</si>
  <si>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</si>
  <si>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</si>
  <si>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</si>
  <si>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</si>
  <si>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</si>
  <si>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※「期間経過チェック用：timestampカラム名」、「期間経過チェック用：timestampカラム型」、「期間経過チェック用：timestamp要経過日数」は任意。ただし、全て空欄か全て入力のいずれか。</t>
  </si>
  <si>
    <t>論理廃止：更新用ユーザIDカラム名</t>
  </si>
  <si>
    <t>論理廃止：更新用ユーザIDカラム値</t>
  </si>
  <si>
    <t>論理廃止：更新用ユーザIDカラム型リテラル記号</t>
  </si>
  <si>
    <t>論理廃止：更新用timestampカラム名</t>
  </si>
  <si>
    <t>1.3.0</t>
  </si>
  <si>
    <t>locale</t>
  </si>
  <si>
    <t>v1.3.0</t>
  </si>
  <si>
    <t>ja</t>
  </si>
  <si>
    <t>必須</t>
  </si>
  <si>
    <t>任意</t>
  </si>
  <si>
    <t>「削除」の場合は任意、「論理廃止」の場合は必須</t>
  </si>
  <si>
    <t>「削除」の場合は空欄、「論理廃止」の場合は任意</t>
  </si>
  <si>
    <t>　指定せずに論理廃止／削除する場合、レコード作成・更新からの期間経過を加味せず削除。</t>
  </si>
  <si>
    <t>※「削除フラグカラム名」は、「削除」の場合で本項目を指定すると、指定のカラムが"true"の場合のみ削除実施される</t>
  </si>
  <si>
    <t>　（削除フラグカラムはbool型のみ対応可）</t>
  </si>
  <si>
    <t>※「論理廃止：更新用timestampカラム名」は、論理廃止時にtimestampを更新する項目がある場合に指定。値は自動で現在時刻を設定。</t>
  </si>
  <si>
    <t>※「論理廃止：更新用ユーザIDカラム名」、「論理廃止：更新用ユーザIDカラム型リテラル記号」、「論理廃止：更新用ユーザIDカラム値」は、論理廃止時にユーザID項目を更新する項目がある場合に指定。</t>
  </si>
  <si>
    <t>　全て空欄か全て入力のいずれか。</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</si>
  <si>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</si>
  <si>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</si>
  <si>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</si>
  <si>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</si>
  <si>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</si>
  <si>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</si>
  <si>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</si>
  <si>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</si>
  <si>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</si>
  <si>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※「削除フラグカラム名」は、「housekeep DB設定」シートの「論理廃止／削除」が「論理廃止」の場合は必須、「削除」の場合は任意。「削除」の場合で本項目を指定すると、指定のカラムが"true"の場合のみ削除実施される</t>
  </si>
  <si>
    <t>　全て空欄か、全て空欄でない状態である必要あり。</t>
  </si>
  <si>
    <t>論理廃止 / 削除</t>
  </si>
  <si>
    <t>論理廃止 / 削除（内部値）</t>
  </si>
  <si>
    <t>変更禁止！</t>
  </si>
  <si>
    <t>関連テーブル処理パターン（内部値）</t>
  </si>
  <si>
    <t>v2.0.0</t>
  </si>
  <si>
    <t>housekeep-db: v15対応
・infoシート
　- database項目削除（mysqlへの対応追加に伴う修正）
　- 非表示に変更
　- 1行目のコメントを削除</t>
  </si>
  <si>
    <t>論理廃止／削除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</si>
</sst>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rgb="FFD883FF"/>
        <bgColor indexed="64"/>
      </patternFill>
    </fill>
    <fill>
      <patternFill patternType="solid">
        <fgColor theme="1" tint="0.3499862666707357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4">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0" fontId="10" fillId="3" borderId="0" xfId="1" applyFont="1" applyFill="1" applyAlignment="1">
      <alignment horizontal="center" vertical="center"/>
    </xf>
    <xf numFmtId="0" fontId="10" fillId="4" borderId="0" xfId="1" applyFont="1" applyFill="1" applyAlignment="1">
      <alignment horizontal="center" vertical="center"/>
    </xf>
    <xf numFmtId="0" fontId="9" fillId="6" borderId="0" xfId="1" applyFont="1" applyFill="1">
      <alignment vertical="center"/>
    </xf>
    <xf numFmtId="0" fontId="10" fillId="7" borderId="0" xfId="1" applyFont="1" applyFill="1" applyAlignment="1">
      <alignment horizontal="center" vertical="center"/>
    </xf>
    <xf numFmtId="0" fontId="10" fillId="4" borderId="0" xfId="1" applyFont="1" applyFill="1">
      <alignment vertical="center"/>
    </xf>
    <xf numFmtId="49" fontId="6" fillId="0" borderId="0" xfId="1" applyNumberFormat="1" applyFont="1">
      <alignment vertical="center"/>
    </xf>
    <xf numFmtId="0" fontId="10" fillId="3" borderId="0" xfId="1" applyFont="1" applyFill="1" applyAlignment="1">
      <alignment horizontal="center" vertical="center"/>
    </xf>
    <xf numFmtId="0" fontId="10" fillId="4" borderId="0" xfId="1" applyFont="1" applyFill="1" applyAlignment="1">
      <alignment horizontal="center" vertical="center"/>
    </xf>
    <xf numFmtId="0" fontId="9" fillId="4" borderId="0" xfId="1" applyFont="1" applyFill="1" applyAlignment="1">
      <alignment horizontal="center" vertical="center"/>
    </xf>
    <xf numFmtId="0" fontId="9" fillId="3" borderId="0" xfId="1" applyFont="1" applyFill="1" applyAlignment="1">
      <alignment horizontal="center" vertical="center"/>
    </xf>
    <xf numFmtId="0" fontId="9" fillId="5"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41" dataDxfId="40">
  <autoFilter ref="A3:D9" xr:uid="{00000000-0009-0000-0100-000005000000}"/>
  <tableColumns count="4">
    <tableColumn id="1" xr3:uid="{E4142994-3892-C340-9A65-88F80365D8CE}" name="日付" dataDxfId="39"/>
    <tableColumn id="2" xr3:uid="{35BACA5E-E809-0844-BAB8-78CB7B6B343E}" name="バージョン" dataDxfId="38"/>
    <tableColumn id="3" xr3:uid="{C4E826C9-5641-E048-9706-B0754516BA47}" name="修正事項" dataDxfId="37"/>
    <tableColumn id="4" xr3:uid="{10D446C7-4721-E74C-863B-894EBEBABA4B}" name="修正者" dataDxfId="36"/>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5">
  <autoFilter ref="A1:B3" xr:uid="{24155060-B8ED-8845-8CC4-DA9C5F0847AB}"/>
  <tableColumns count="2">
    <tableColumn id="1" xr3:uid="{98E4E7E5-8F2D-A64D-A202-DFFC12164331}" name="item" dataDxfId="34"/>
    <tableColumn id="2" xr3:uid="{E3BF9435-59E2-8948-93E9-5462EEBA2F6D}" name="value" data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32" dataDxfId="31">
  <autoFilter ref="A5:I6" xr:uid="{00000000-0009-0000-0100-000002000000}"/>
  <tableColumns count="9">
    <tableColumn id="1" xr3:uid="{6F9607F2-5B3B-AC43-9B81-3332FF1A0DAD}" name="DB接続ID" dataDxfId="30"/>
    <tableColumn id="2" xr3:uid="{EB1F7206-30E2-EA43-A8CF-9AD4F9A14E33}" name="driver名" dataDxfId="29"/>
    <tableColumn id="3" xr3:uid="{4D55D82B-BDD3-2B46-A21D-0450B9F1910B}" name="接続url : protocol" dataDxfId="28" dataCellStyle="標準 2"/>
    <tableColumn id="4" xr3:uid="{84D0845B-C5EE-9047-A1AB-EE336A75EBAD}" name="接続url : サーバ" dataDxfId="27" dataCellStyle="標準 2"/>
    <tableColumn id="5" xr3:uid="{6197D9F5-186B-D44E-ADCB-89378D8B3702}" name="接続url : port" dataDxfId="26" dataCellStyle="標準 2"/>
    <tableColumn id="6" xr3:uid="{26B865D4-D13A-9C4C-B104-C634122F988F}" name="接続url : database" dataDxfId="25" dataCellStyle="標準 2"/>
    <tableColumn id="7" xr3:uid="{046864C3-26A2-7B44-B07A-EAB68FAF2EEA}" name="接続url : schema" dataDxfId="24" dataCellStyle="標準 2"/>
    <tableColumn id="8" xr3:uid="{4A5FE8C4-A0F3-3E4A-9BB5-642C226504CF}" name="ユーザ名" dataDxfId="23" dataCellStyle="標準 2"/>
    <tableColumn id="9" xr3:uid="{6A963E93-AA2B-944F-A127-0CD6F7E61369}" name="password" dataDxfId="22"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21" dataDxfId="20">
  <autoFilter ref="A5:O6" xr:uid="{00000000-0009-0000-0100-000002000000}"/>
  <tableColumns count="15">
    <tableColumn id="1" xr3:uid="{CBD51E9F-618C-754C-8BA6-0B46FCE3F82F}" name="処理ID" dataDxfId="19"/>
    <tableColumn id="12" xr3:uid="{5E33A481-4C3C-A049-B253-3EC944DDB6EC}" name="DB接続ID" dataDxfId="18" dataCellStyle="標準 2"/>
    <tableColumn id="2" xr3:uid="{AADC801E-ABC4-9E4F-8EFF-3383030B2A4B}" name="論理廃止 / 削除" dataDxfId="17"/>
    <tableColumn id="15" xr3:uid="{F58118F0-6716-6C42-853A-3FBAEE07F4E8}" name="論理廃止 / 削除（内部値）" dataDxfId="16">
      <calculatedColumnFormula array="1">_xlfn.IFS(テーブル32[[#This Row],[論理廃止 / 削除]]="論理廃止","SOFT_DELETE",テーブル32[[#This Row],[論理廃止 / 削除]]="削除","HARD_DELETE",TRUE,"")</calculatedColumnFormula>
    </tableColumn>
    <tableColumn id="3" xr3:uid="{6C98AD64-A3D3-F44E-A881-8EFCEA1F9F67}" name="テーブル名" dataDxfId="15" dataCellStyle="標準 2"/>
    <tableColumn id="4" xr3:uid="{A38A3149-447A-8548-9729-49CE9E074B36}" name="IDカラム名" dataDxfId="14" dataCellStyle="標準 2"/>
    <tableColumn id="10" xr3:uid="{B15AF0F8-272C-B943-9D75-81A8797BC598}" name="IDカラム型リテラル記号" dataDxfId="13"/>
    <tableColumn id="5" xr3:uid="{6FE6A1FF-15C9-7545-B254-7B2C29EF168D}" name="期間経過チェック用：timestampカラム名" dataDxfId="12" dataCellStyle="標準 2"/>
    <tableColumn id="11" xr3:uid="{BF075527-A2E7-834B-AD05-1A2D9E3BA0AD}" name="期間経過チェック用：timestampカラム型" dataDxfId="11"/>
    <tableColumn id="6" xr3:uid="{94EB7746-8D75-EE47-A2F3-81D397D26AE1}" name="期間経過チェック用：timestamp要経過日数" dataDxfId="10" dataCellStyle="標準 2"/>
    <tableColumn id="7" xr3:uid="{62ADB4F3-1C59-7F4B-819E-B49B0ABB889C}" name="削除フラグカラム名" dataDxfId="9" dataCellStyle="標準 2"/>
    <tableColumn id="8" xr3:uid="{0EB6A694-7E00-B64C-AF69-22B6C7E1C560}" name="論理廃止：更新用timestampカラム名" dataDxfId="8" dataCellStyle="標準 2"/>
    <tableColumn id="9" xr3:uid="{0A6924E1-C0CB-AF40-A208-E0E96A257245}" name="論理廃止：更新用ユーザIDカラム名" dataDxfId="7" dataCellStyle="標準 2"/>
    <tableColumn id="14" xr3:uid="{93BF3B4F-D2E8-A640-A768-A230439878D9}" name="論理廃止：更新用ユーザIDカラム型リテラル記号" dataDxfId="6" dataCellStyle="標準 2"/>
    <tableColumn id="13" xr3:uid="{DE6ACC44-9137-0840-9711-E0D04FCC851F}" name="論理廃止：更新用ユーザIDカラム値" dataDxfId="5"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4">
  <autoFilter ref="A5:D6" xr:uid="{00000000-0009-0000-0100-000002000000}"/>
  <tableColumns count="4">
    <tableColumn id="1" xr3:uid="{0B02141A-0F5F-8849-982C-6C0A6A7BEE4F}" name="処理ID" dataDxfId="3" dataCellStyle="標準 2"/>
    <tableColumn id="12" xr3:uid="{69A08ECC-4076-9E48-8CE9-3FABB073CA81}" name="条件カラム名" dataDxfId="2"/>
    <tableColumn id="2" xr3:uid="{511F37DB-74E3-394C-9204-B1C6CA623CD0}" name="条件カラム型リテラル記号" dataDxfId="1"/>
    <tableColumn id="3" xr3:uid="{2F474AF9-6428-D446-9D8C-0FEF2C86FE1D}" name="条件カラム値" dataDxfId="0"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L6" totalsRowShown="0" headerRowDxfId="55" dataDxfId="54">
  <autoFilter ref="A5:L6" xr:uid="{00000000-0009-0000-0100-000002000000}"/>
  <tableColumns count="12">
    <tableColumn id="1" xr3:uid="{65C86A53-0A13-8F47-916D-E06475BCECE3}" name="処理ID" dataDxfId="53"/>
    <tableColumn id="12" xr3:uid="{987F2B9C-94EA-9F41-A4C1-6D7606B12BAC}" name="関連テーブル処理パターン" dataDxfId="52"/>
    <tableColumn id="10" xr3:uid="{4A3F5F45-559C-3B48-8E59-FDBCE79B21C8}" name="関連テーブル処理パターン（内部値）" dataDxfId="51">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50"/>
    <tableColumn id="2" xr3:uid="{3B40126A-13DD-E04B-A86B-9387EB6006A1}" name="関連テーブル名" dataDxfId="49" dataCellStyle="標準 2"/>
    <tableColumn id="3" xr3:uid="{59ED585B-1BCF-DB41-A333-2655E74C710D}" name="関連テーブルIDカラム名" dataDxfId="48" dataCellStyle="標準 2"/>
    <tableColumn id="14" xr3:uid="{75144EA6-AFC2-3646-9A0E-DD4A2D917411}" name="関連テーブルIDカラム型リテラル記号" dataDxfId="47" dataCellStyle="標準 2"/>
    <tableColumn id="4" xr3:uid="{684AF203-54CE-5A42-8441-2636BF604DAF}" name="削除フラグカラム名" dataDxfId="46"/>
    <tableColumn id="5" xr3:uid="{1D070257-74D6-6746-B460-ACB59A1770E6}" name="論理廃止：更新用timestampカラム名" dataDxfId="45"/>
    <tableColumn id="6" xr3:uid="{59287FEB-061F-B946-B814-312CDD2F482D}" name="論理廃止：更新用ユーザIDカラム名" dataDxfId="44"/>
    <tableColumn id="7" xr3:uid="{E0734288-8DC3-C342-98A6-DBC50A55CEF9}" name="論理廃止：更新用ユーザIDカラム型リテラル記号" dataDxfId="43"/>
    <tableColumn id="8" xr3:uid="{D5E8A958-B06D-554D-B183-49DD307AC86A}" name="論理廃止：更新用ユーザIDカラム値" dataDxfId="4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5"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abSelected="1" topLeftCell="A7" zoomScaleNormal="100" workbookViewId="0">
      <selection activeCell="C8" sqref="C8"/>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52</v>
      </c>
      <c r="D6" s="11" t="s">
        <v>47</v>
      </c>
    </row>
    <row r="7" spans="1:4" ht="128" x14ac:dyDescent="0.2">
      <c r="A7" s="17">
        <v>45766</v>
      </c>
      <c r="B7" s="16" t="s">
        <v>51</v>
      </c>
      <c r="C7" s="18" t="s">
        <v>57</v>
      </c>
      <c r="D7" s="11" t="s">
        <v>47</v>
      </c>
    </row>
    <row r="8" spans="1:4" ht="176" x14ac:dyDescent="0.2">
      <c r="A8" s="17">
        <v>45780</v>
      </c>
      <c r="B8" s="16" t="s">
        <v>65</v>
      </c>
      <c r="C8" s="18" t="s">
        <v>81</v>
      </c>
      <c r="D8" s="22" t="s">
        <v>47</v>
      </c>
    </row>
    <row r="9" spans="1:4" ht="80" x14ac:dyDescent="0.2">
      <c r="A9" s="17">
        <v>46256</v>
      </c>
      <c r="B9" s="16" t="s">
        <v>92</v>
      </c>
      <c r="C9" s="18" t="s">
        <v>93</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21" sqref="B21"/>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63</v>
      </c>
    </row>
    <row r="3" spans="1:2" x14ac:dyDescent="0.2">
      <c r="A3" s="20" t="s">
        <v>64</v>
      </c>
      <c r="B3" s="21" t="s">
        <v>66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B27" sqref="B27"/>
    </sheetView>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82</v>
      </c>
    </row>
    <row r="3" spans="1:9" x14ac:dyDescent="0.2">
      <c r="A3" s="6" t="s">
        <v>26</v>
      </c>
    </row>
    <row r="4" spans="1:9" x14ac:dyDescent="0.2">
      <c r="A4" s="30" t="s">
        <v>67</v>
      </c>
      <c r="B4" s="30"/>
      <c r="C4" s="30"/>
      <c r="D4" s="30"/>
      <c r="E4" s="30"/>
      <c r="F4" s="30"/>
      <c r="G4" s="23" t="s">
        <v>68</v>
      </c>
      <c r="H4" s="31" t="s">
        <v>67</v>
      </c>
      <c r="I4" s="31"/>
    </row>
    <row r="5" spans="1:9" x14ac:dyDescent="0.2">
      <c r="A5" s="6" t="s">
        <v>12</v>
      </c>
      <c r="B5" s="6" t="s">
        <v>13</v>
      </c>
      <c r="C5" s="8" t="s">
        <v>14</v>
      </c>
      <c r="D5" s="8" t="s">
        <v>16</v>
      </c>
      <c r="E5" s="8" t="s">
        <v>15</v>
      </c>
      <c r="F5" s="8" t="s">
        <v>18</v>
      </c>
      <c r="G5" s="8" t="s">
        <v>17</v>
      </c>
      <c r="H5" s="8" t="s">
        <v>19</v>
      </c>
      <c r="I5" s="8" t="s">
        <v>3</v>
      </c>
    </row>
    <row r="6" spans="1:9" x14ac:dyDescent="0.2">
      <c r="B6" s="8"/>
      <c r="C6" s="8"/>
      <c r="D6" s="8"/>
      <c r="E6" s="8"/>
      <c r="F6" s="8"/>
      <c r="G6" s="8"/>
      <c r="H6" s="8"/>
      <c r="I6" s="8"/>
    </row>
    <row r="9" spans="1:9" x14ac:dyDescent="0.2">
      <c r="A9" s="6" t="s">
        <v>49</v>
      </c>
    </row>
  </sheetData>
  <mergeCells count="2">
    <mergeCell ref="A4:F4"/>
    <mergeCell ref="H4:I4"/>
  </mergeCells>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5"/>
  <sheetViews>
    <sheetView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83</v>
      </c>
      <c r="B1" s="1"/>
    </row>
    <row r="3" spans="1:15" x14ac:dyDescent="0.2">
      <c r="A3" s="6" t="s">
        <v>26</v>
      </c>
    </row>
    <row r="4" spans="1:15" x14ac:dyDescent="0.2">
      <c r="A4" s="31" t="s">
        <v>67</v>
      </c>
      <c r="B4" s="31"/>
      <c r="C4" s="31"/>
      <c r="D4" s="26" t="s">
        <v>90</v>
      </c>
      <c r="E4" s="31" t="s">
        <v>67</v>
      </c>
      <c r="F4" s="31"/>
      <c r="G4" s="31"/>
      <c r="H4" s="32" t="s">
        <v>68</v>
      </c>
      <c r="I4" s="32"/>
      <c r="J4" s="32"/>
      <c r="K4" s="25" t="s">
        <v>69</v>
      </c>
      <c r="L4" s="33" t="s">
        <v>70</v>
      </c>
      <c r="M4" s="33"/>
      <c r="N4" s="33"/>
      <c r="O4" s="33"/>
    </row>
    <row r="5" spans="1:15" x14ac:dyDescent="0.2">
      <c r="A5" s="6" t="s">
        <v>77</v>
      </c>
      <c r="B5" s="6" t="s">
        <v>24</v>
      </c>
      <c r="C5" s="6" t="s">
        <v>88</v>
      </c>
      <c r="D5" s="6" t="s">
        <v>89</v>
      </c>
      <c r="E5" s="8" t="s">
        <v>78</v>
      </c>
      <c r="F5" s="8" t="s">
        <v>79</v>
      </c>
      <c r="G5" s="8" t="s">
        <v>80</v>
      </c>
      <c r="H5" s="8" t="s">
        <v>53</v>
      </c>
      <c r="I5" s="8" t="s">
        <v>54</v>
      </c>
      <c r="J5" s="8" t="s">
        <v>55</v>
      </c>
      <c r="K5" s="8" t="s">
        <v>56</v>
      </c>
      <c r="L5" s="8" t="s">
        <v>62</v>
      </c>
      <c r="M5" s="8" t="s">
        <v>59</v>
      </c>
      <c r="N5" s="8" t="s">
        <v>61</v>
      </c>
      <c r="O5" s="8" t="s">
        <v>60</v>
      </c>
    </row>
    <row r="6" spans="1:15" x14ac:dyDescent="0.2">
      <c r="A6" s="8"/>
      <c r="C6" s="8"/>
      <c r="D6" s="8" t="str" cm="1">
        <f t="array" ref="D6">_xlfn.IFS(テーブル32[[#This Row],[論理廃止 / 削除]]="論理廃止","SOFT_DELETE",テーブル32[[#This Row],[論理廃止 / 削除]]="削除","HARD_DELETE",TRUE,"")</f>
        <v/>
      </c>
      <c r="E6" s="8"/>
      <c r="F6" s="8"/>
      <c r="G6" s="8"/>
      <c r="H6" s="8"/>
      <c r="I6" s="8"/>
      <c r="J6" s="8"/>
      <c r="K6" s="8"/>
      <c r="N6" s="8"/>
    </row>
    <row r="9" spans="1:15" x14ac:dyDescent="0.2">
      <c r="A9" s="6" t="s">
        <v>58</v>
      </c>
    </row>
    <row r="10" spans="1:15" x14ac:dyDescent="0.2">
      <c r="A10" s="6" t="s">
        <v>71</v>
      </c>
    </row>
    <row r="11" spans="1:15" x14ac:dyDescent="0.2">
      <c r="A11" s="6" t="s">
        <v>72</v>
      </c>
    </row>
    <row r="12" spans="1:15" x14ac:dyDescent="0.2">
      <c r="A12" s="6" t="s">
        <v>73</v>
      </c>
    </row>
    <row r="13" spans="1:15" x14ac:dyDescent="0.2">
      <c r="A13" s="19" t="s">
        <v>74</v>
      </c>
    </row>
    <row r="14" spans="1:15" x14ac:dyDescent="0.2">
      <c r="A14" s="19" t="s">
        <v>75</v>
      </c>
    </row>
    <row r="15" spans="1:15" x14ac:dyDescent="0.2">
      <c r="A15" s="19" t="s">
        <v>76</v>
      </c>
    </row>
  </sheetData>
  <mergeCells count="4">
    <mergeCell ref="H4:J4"/>
    <mergeCell ref="L4:O4"/>
    <mergeCell ref="A4:C4"/>
    <mergeCell ref="E4:G4"/>
  </mergeCells>
  <phoneticPr fontId="1"/>
  <dataValidations count="3">
    <dataValidation type="list" allowBlank="1" showInputMessage="1" showErrorMessage="1" sqref="C6" xr:uid="{8F6F98C1-595C-9F49-B250-21CD2634841D}">
      <formula1>"論理廃止,削除"</formula1>
    </dataValidation>
    <dataValidation type="list" allowBlank="1" showInputMessage="1" showErrorMessage="1" sqref="G6 N6" xr:uid="{7B8B2790-6C59-604D-89F1-3BD24DE216A5}">
      <formula1>"quotes('),(none)"</formula1>
    </dataValidation>
    <dataValidation type="list" allowBlank="1" showInputMessage="1" showErrorMessage="1" sqref="I6"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workbookViewId="0"/>
  </sheetViews>
  <sheetFormatPr baseColWidth="10" defaultColWidth="7.5" defaultRowHeight="15" x14ac:dyDescent="0.2"/>
  <cols>
    <col min="1" max="1" width="40.5" style="6" customWidth="1"/>
    <col min="2" max="2" width="23.83203125" style="6" customWidth="1"/>
    <col min="3" max="3" width="25.5" style="6" bestFit="1" customWidth="1"/>
    <col min="4" max="4" width="20.1640625" style="6" customWidth="1"/>
    <col min="5" max="16384" width="7.5" style="6"/>
  </cols>
  <sheetData>
    <row r="1" spans="1:4" x14ac:dyDescent="0.2">
      <c r="A1" s="1" t="s">
        <v>85</v>
      </c>
      <c r="B1" s="1"/>
    </row>
    <row r="3" spans="1:4" x14ac:dyDescent="0.2">
      <c r="A3" s="6" t="s">
        <v>26</v>
      </c>
    </row>
    <row r="4" spans="1:4" x14ac:dyDescent="0.2">
      <c r="A4" s="30" t="s">
        <v>67</v>
      </c>
      <c r="B4" s="30"/>
      <c r="C4" s="30"/>
      <c r="D4" s="30"/>
    </row>
    <row r="5" spans="1:4" x14ac:dyDescent="0.2">
      <c r="A5" s="6" t="s">
        <v>25</v>
      </c>
      <c r="B5" s="6" t="s">
        <v>27</v>
      </c>
      <c r="C5" s="8" t="s">
        <v>28</v>
      </c>
      <c r="D5" s="8" t="s">
        <v>29</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12"/>
  <sheetViews>
    <sheetView workbookViewId="0">
      <selection activeCell="B17" sqref="B17"/>
    </sheetView>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84</v>
      </c>
      <c r="B1" s="1"/>
      <c r="C1" s="1"/>
      <c r="D1" s="1"/>
    </row>
    <row r="3" spans="1:12" x14ac:dyDescent="0.2">
      <c r="A3" s="6" t="s">
        <v>26</v>
      </c>
    </row>
    <row r="4" spans="1:12" x14ac:dyDescent="0.2">
      <c r="A4" s="24" t="s">
        <v>67</v>
      </c>
      <c r="B4" s="24" t="s">
        <v>67</v>
      </c>
      <c r="C4" s="26" t="s">
        <v>90</v>
      </c>
      <c r="D4" s="24" t="s">
        <v>67</v>
      </c>
      <c r="E4" s="27"/>
      <c r="F4" s="27"/>
      <c r="G4" s="27"/>
      <c r="H4" s="29" t="s">
        <v>68</v>
      </c>
      <c r="I4" s="29"/>
      <c r="J4" s="29"/>
      <c r="K4" s="29"/>
      <c r="L4" s="29"/>
    </row>
    <row r="5" spans="1:12" x14ac:dyDescent="0.2">
      <c r="A5" s="6" t="s">
        <v>25</v>
      </c>
      <c r="B5" s="6" t="s">
        <v>32</v>
      </c>
      <c r="C5" s="6" t="s">
        <v>91</v>
      </c>
      <c r="D5" s="6" t="s">
        <v>30</v>
      </c>
      <c r="E5" s="8" t="s">
        <v>31</v>
      </c>
      <c r="F5" s="8" t="s">
        <v>44</v>
      </c>
      <c r="G5" s="6" t="s">
        <v>45</v>
      </c>
      <c r="H5" s="8" t="s">
        <v>56</v>
      </c>
      <c r="I5" s="8" t="s">
        <v>37</v>
      </c>
      <c r="J5" s="8" t="s">
        <v>38</v>
      </c>
      <c r="K5" s="8" t="s">
        <v>41</v>
      </c>
      <c r="L5" s="8" t="s">
        <v>39</v>
      </c>
    </row>
    <row r="6" spans="1:12" x14ac:dyDescent="0.2">
      <c r="A6" s="8"/>
      <c r="B6" s="8" t="s">
        <v>94</v>
      </c>
      <c r="C6" s="8" t="str" cm="1">
        <f t="array" ref="C6">_xlfn.IFS(テーブル3236[[#This Row],[関連テーブル処理パターン]]="論理廃止／削除","DELETE",テーブル3236[[#This Row],[関連テーブル処理パターン]]="存在チェック","CHECK_AND_SKIP_DELETE",TRUE,"")</f>
        <v>DELETE</v>
      </c>
      <c r="D6" s="8"/>
      <c r="E6" s="8"/>
      <c r="F6" s="7"/>
      <c r="G6" s="8"/>
    </row>
    <row r="7" spans="1:12" x14ac:dyDescent="0.2">
      <c r="A7" s="8"/>
      <c r="B7" s="19"/>
      <c r="D7" s="19"/>
      <c r="E7" s="19"/>
      <c r="F7" s="28"/>
      <c r="G7" s="19"/>
      <c r="H7" s="19"/>
      <c r="I7" s="19"/>
      <c r="J7" s="19"/>
      <c r="K7" s="19"/>
      <c r="L7" s="19"/>
    </row>
    <row r="8" spans="1:12" x14ac:dyDescent="0.2">
      <c r="A8" s="8"/>
      <c r="B8" s="19"/>
      <c r="D8" s="19"/>
      <c r="E8" s="19"/>
      <c r="F8" s="28"/>
      <c r="G8" s="19"/>
      <c r="H8" s="19"/>
      <c r="I8" s="19"/>
      <c r="J8" s="19"/>
      <c r="K8" s="19"/>
      <c r="L8" s="19"/>
    </row>
    <row r="9" spans="1:12" x14ac:dyDescent="0.2">
      <c r="A9" s="19" t="s">
        <v>86</v>
      </c>
    </row>
    <row r="10" spans="1:12" x14ac:dyDescent="0.2">
      <c r="A10" s="19" t="s">
        <v>50</v>
      </c>
    </row>
    <row r="11" spans="1:12" x14ac:dyDescent="0.2">
      <c r="A11" s="6" t="s">
        <v>48</v>
      </c>
    </row>
    <row r="12" spans="1:12" x14ac:dyDescent="0.2">
      <c r="A12" s="6" t="s">
        <v>87</v>
      </c>
    </row>
  </sheetData>
  <mergeCells count="1">
    <mergeCell ref="H4:L4"/>
  </mergeCells>
  <phoneticPr fontId="1"/>
  <dataValidations count="3">
    <dataValidation type="list" allowBlank="1" showInputMessage="1" showErrorMessage="1" sqref="G6:G8" xr:uid="{F353BD13-7B61-C54A-8C2B-F025D3AA26B4}">
      <formula1>"quotes('),(none)"</formula1>
    </dataValidation>
    <dataValidation type="list" allowBlank="1" showInputMessage="1" showErrorMessage="1" sqref="B7:B8" xr:uid="{9B87489A-16BF-C040-BD48-9AF02F137779}">
      <formula1>"関連テーブル論理廃止／削除,削除対象テーブル論理廃止／削除のためのデータチェック"</formula1>
    </dataValidation>
    <dataValidation type="list" allowBlank="1" showInputMessage="1" showErrorMessage="1" sqref="B6"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2026-08-29T00:09:28Z</dcterms:modified>
</cp:coreProperties>
</file>