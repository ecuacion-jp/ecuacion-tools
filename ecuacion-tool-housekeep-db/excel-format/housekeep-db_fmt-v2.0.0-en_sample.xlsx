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suke.tanaka/Desktop/development/git/ecuacion-tools/ecuacion-tool-housekeep-db/excel-format/"/>
    </mc:Choice>
  </mc:AlternateContent>
  <xr:revisionPtr revIDLastSave="0" documentId="13_ncr:1_{B134B03E-2612-A24B-B849-1158501881D8}" xr6:coauthVersionLast="47" xr6:coauthVersionMax="47" xr10:uidLastSave="{00000000-0000-0000-0000-000000000000}"/>
  <bookViews>
    <workbookView xWindow="0" yWindow="500" windowWidth="28800" windowHeight="16600" xr2:uid="{8AED4C0F-E98F-E547-A0B0-59373B747A30}"/>
  </bookViews>
  <sheets>
    <sheet name="change log" sheetId="8" r:id="rId1"/>
    <sheet name="Info" sheetId="5" state="hidden" r:id="rId2"/>
    <sheet name="dropdown" sheetId="15" state="hidden" r:id="rId3"/>
    <sheet name="DB Connection Settings" sheetId="4" r:id="rId4"/>
    <sheet name="Housekeep DB Settings" sheetId="10" r:id="rId5"/>
    <sheet name="Search Condition Settings" sheetId="12" r:id="rId6"/>
    <sheet name="Related Table Settings" sheetId="14" r:id="rId7"/>
  </sheets>
  <externalReferences>
    <externalReference r:id="rId8"/>
  </externalReferences>
  <definedNames>
    <definedName name="一般">[1]dataTypeプルダウン項目!$A$3:$A$16</definedName>
    <definedName name="一般２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4" l="1" a="1"/>
  <c r="C5" i="14" s="1"/>
  <c r="D5" i="10" a="1"/>
  <c r="D5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tc={7D829323-4655-CD44-9CAF-FB0BE1358339}</author>
  </authors>
  <commentList>
    <comment ref="F4" authorId="0" shapeId="0" xr:uid="{7D829323-4655-CD44-9CAF-FB0BE13583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Required because actual deletion specifies which record to delete by this ID column's value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<sst xmlns="http://schemas.openxmlformats.org/spreadsheetml/2006/main" count="74" uniqueCount="68">
  <si>
    <t>value</t>
  </si>
  <si>
    <t>item</t>
  </si>
  <si>
    <t>format-version</t>
  </si>
  <si>
    <t>Password</t>
  </si>
  <si>
    <t>Format Excel Change Log</t>
  </si>
  <si>
    <t>Date</t>
  </si>
  <si>
    <t>Version</t>
  </si>
  <si>
    <t>Notes</t>
  </si>
  <si>
    <t>Updated By</t>
  </si>
  <si>
    <t>DB Connection ID</t>
  </si>
  <si>
    <t>Driver Name</t>
  </si>
  <si>
    <t>Connection URL: Protocol</t>
  </si>
  <si>
    <t>Connection URL: Port</t>
  </si>
  <si>
    <t>Connection URL: Server</t>
  </si>
  <si>
    <t>Connection URL: Schema</t>
  </si>
  <si>
    <t>Connection URL: Database</t>
  </si>
  <si>
    <t>Username</t>
  </si>
  <si>
    <t>postgresql</t>
  </si>
  <si>
    <t>(none)</t>
  </si>
  <si>
    <t>OffsetDateTime</t>
  </si>
  <si>
    <t>LocalDateTime</t>
  </si>
  <si>
    <t>DB Connection ID</t>
  </si>
  <si>
    <t>Task ID</t>
  </si>
  <si>
    <t>* Excel reader finishes reading when it finds an empty A-column cell.</t>
  </si>
  <si>
    <t>Search Condition Column Name</t>
  </si>
  <si>
    <t>Search Condition Column Literal Symbol</t>
  </si>
  <si>
    <t>Search Condition Column Value</t>
  </si>
  <si>
    <t>Target Table Column Name</t>
  </si>
  <si>
    <t>Related Table Name</t>
  </si>
  <si>
    <t>Related Table Process Pattern</t>
  </si>
  <si>
    <t>Timestamp Column Data Type</t>
  </si>
  <si>
    <t>Soft Delete: Update Date / Timestamp Column Name</t>
  </si>
  <si>
    <t>Soft Delete: Update User ID Column Name</t>
  </si>
  <si>
    <t>Soft Delete: Update User ID Column Value</t>
  </si>
  <si>
    <t>Connection URL: Protocol</t>
  </si>
  <si>
    <t>Soft Delete: Update User ID Column Literal Symbol</t>
  </si>
  <si>
    <t>Literal Symbol</t>
  </si>
  <si>
    <t>quotes(')</t>
  </si>
  <si>
    <t>Related Table ID Column Name</t>
  </si>
  <si>
    <t>Related Table ID Column Literal Symbol</t>
  </si>
  <si>
    <t>Yosuke Tanaka</t>
  </si>
  <si>
    <t>Expiration Check: Date / Timestamp Column Name</t>
  </si>
  <si>
    <t>Expiration Check: Timestamp Column Data Type</t>
  </si>
  <si>
    <t>Expiration Check: Validity Days</t>
  </si>
  <si>
    <t>Soft Delete Column Name</t>
  </si>
  <si>
    <t>Soft Delete: Update User ID Column Name</t>
  </si>
  <si>
    <t>Soft Delete: Update User ID Column Value</t>
  </si>
  <si>
    <t>Soft Delete: Update User ID Column Literal Symbol</t>
  </si>
  <si>
    <t>Soft Delete: Update Date / Timestamp Column Name</t>
  </si>
  <si>
    <t>locale</t>
  </si>
  <si>
    <t>en</t>
  </si>
  <si>
    <t>Task ID</t>
  </si>
  <si>
    <t>Table Name</t>
  </si>
  <si>
    <t>ID Column Name</t>
  </si>
  <si>
    <t>ID Column Literal Symbol</t>
  </si>
  <si>
    <t>DB Connection Settings</t>
  </si>
  <si>
    <t>Housekeep DB Settings</t>
  </si>
  <si>
    <t>Related Table Settings</t>
  </si>
  <si>
    <t>Search Condition Settings</t>
  </si>
  <si>
    <t>Process Type</t>
  </si>
  <si>
    <t>Process Type (internal value)</t>
  </si>
  <si>
    <t>Related Table Process Pattern (internal value)</t>
  </si>
  <si>
    <t>v2.0.0</t>
  </si>
  <si>
    <t>2.0.0</t>
  </si>
  <si>
    <t>Expiration Check Items</t>
  </si>
  <si>
    <t>Soft Delete Items</t>
  </si>
  <si>
    <t>housekeep-db: 
English version added</t>
  </si>
  <si>
    <t>Search Condition 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</si>
</sst>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b/>
      <u/>
      <sz val="11"/>
      <color theme="1"/>
      <name val="Calibri"/>
      <family val="3"/>
      <charset val="128"/>
      <scheme val="minor"/>
    </font>
    <font>
      <sz val="11"/>
      <color theme="0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b/>
      <sz val="12"/>
      <color theme="0"/>
      <name val="Calibri"/>
      <family val="3"/>
      <charset val="128"/>
      <scheme val="minor"/>
    </font>
    <font>
      <sz val="11"/>
      <color theme="0"/>
      <name val="Calibri"/>
      <family val="3"/>
      <charset val="128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/>
      <top/>
      <bottom/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5" fillId="0" borderId="0"/>
  </cellStyleXfs>
  <cellXfs count="33">
    <xf numFmtId="0" fontId="0" fillId="0" borderId="0" xfId="0">
      <alignment vertical="center"/>
    </xf>
    <xf numFmtId="0" fontId="3" fillId="0" borderId="0" xfId="1" applyFont="1">
      <alignment vertical="center"/>
    </xf>
    <xf numFmtId="0" fontId="3" fillId="0" borderId="0" xfId="3" applyFont="1"/>
    <xf numFmtId="0" fontId="6" fillId="0" borderId="0" xfId="3" applyFont="1" applyAlignment="1">
      <alignment horizontal="right"/>
    </xf>
    <xf numFmtId="0" fontId="6" fillId="0" borderId="0" xfId="3" applyFont="1"/>
    <xf numFmtId="0" fontId="6" fillId="0" borderId="0" xfId="3" applyFont="1" applyAlignment="1">
      <alignment horizontal="center"/>
    </xf>
    <xf numFmtId="0" fontId="6" fillId="0" borderId="0" xfId="1" applyFont="1">
      <alignment vertical="center"/>
    </xf>
    <xf numFmtId="49" fontId="6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3" borderId="1" xfId="0" applyFont="1" applyFill="1" applyBorder="1">
      <alignment vertical="center"/>
    </xf>
    <xf numFmtId="0" fontId="0" fillId="0" borderId="1" xfId="0" applyBorder="1">
      <alignment vertical="center"/>
    </xf>
    <xf numFmtId="0" fontId="6" fillId="0" borderId="0" xfId="3" applyFont="1" applyAlignment="1">
      <alignment horizontal="center" vertical="top"/>
    </xf>
    <xf numFmtId="0" fontId="5" fillId="0" borderId="0" xfId="3" applyAlignment="1">
      <alignment horizontal="right" vertical="top"/>
    </xf>
    <xf numFmtId="14" fontId="5" fillId="0" borderId="0" xfId="3" applyNumberFormat="1" applyAlignment="1">
      <alignment vertical="top"/>
    </xf>
    <xf numFmtId="0" fontId="5" fillId="0" borderId="0" xfId="3" applyAlignment="1">
      <alignment vertical="top" wrapText="1"/>
    </xf>
    <xf numFmtId="0" fontId="5" fillId="0" borderId="0" xfId="1" applyFont="1">
      <alignment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49" fontId="5" fillId="0" borderId="0" xfId="1" applyNumberFormat="1" applyFont="1">
      <alignment vertical="center"/>
    </xf>
    <xf numFmtId="0" fontId="6" fillId="0" borderId="2" xfId="1" applyFont="1" applyBorder="1">
      <alignment vertical="center"/>
    </xf>
    <xf numFmtId="0" fontId="6" fillId="0" borderId="3" xfId="1" applyFont="1" applyBorder="1">
      <alignment vertical="center"/>
    </xf>
    <xf numFmtId="0" fontId="6" fillId="0" borderId="5" xfId="1" applyFont="1" applyBorder="1">
      <alignment vertical="center"/>
    </xf>
    <xf numFmtId="0" fontId="6" fillId="0" borderId="5" xfId="0" applyFont="1" applyBorder="1">
      <alignment vertical="center"/>
    </xf>
    <xf numFmtId="0" fontId="6" fillId="3" borderId="3" xfId="0" applyFont="1" applyFill="1" applyBorder="1">
      <alignment vertical="center"/>
    </xf>
    <xf numFmtId="0" fontId="6" fillId="4" borderId="3" xfId="0" applyFont="1" applyFill="1" applyBorder="1">
      <alignment vertical="center"/>
    </xf>
    <xf numFmtId="0" fontId="6" fillId="4" borderId="2" xfId="0" applyFont="1" applyFill="1" applyBorder="1">
      <alignment vertical="center"/>
    </xf>
    <xf numFmtId="0" fontId="6" fillId="0" borderId="4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2" xfId="0" applyFont="1" applyBorder="1">
      <alignment vertical="center"/>
    </xf>
    <xf numFmtId="0" fontId="8" fillId="3" borderId="6" xfId="1" applyFont="1" applyFill="1" applyBorder="1" applyAlignment="1">
      <alignment horizontal="center" vertical="center"/>
    </xf>
    <xf numFmtId="0" fontId="9" fillId="4" borderId="6" xfId="1" applyFont="1" applyFill="1" applyBorder="1" applyAlignment="1">
      <alignment horizontal="center" vertical="center"/>
    </xf>
    <xf numFmtId="0" fontId="9" fillId="4" borderId="7" xfId="1" applyFont="1" applyFill="1" applyBorder="1" applyAlignment="1">
      <alignment horizontal="center" vertical="center"/>
    </xf>
    <xf numFmtId="0" fontId="5" fillId="0" borderId="0" xfId="3" applyAlignment="1">
      <alignment horizontal="left" vertical="top"/>
    </xf>
  </cellXfs>
  <cellStyles count="4">
    <cellStyle name="Normal" xfId="0" builtinId="0"/>
    <cellStyle name="アクセント 1 2" xfId="2" xr:uid="{7C4C908F-A50D-D242-92BC-8638F01042F5}"/>
    <cellStyle name="標準 2" xfId="1" xr:uid="{BD6EA7D8-0FCB-0647-872F-4B8806E77649}"/>
    <cellStyle name="標準 3" xfId="3" xr:uid="{5847071D-4CD7-2041-8E1B-31F36A89F42E}"/>
  </cellStyles>
  <dxfs count="56"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  <alignment vertical="top" textRotation="0" indent="0" justifyLastLine="0" shrinkToFit="0" readingOrder="0"/>
    </dxf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family val="3"/>
        <charset val="128"/>
        <scheme val="minor"/>
      </font>
      <numFmt numFmtId="30" formatCode="@"/>
    </dxf>
    <dxf>
      <font>
        <strike val="0"/>
        <outline val="0"/>
        <shadow val="0"/>
        <vertAlign val="baseline"/>
        <sz val="11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3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  <border diagonalUp="0" diagonalDown="0">
        <left style="hair">
          <color theme="0"/>
        </left>
        <right style="hair">
          <color theme="0"/>
        </right>
        <top/>
        <bottom/>
        <vertical style="hair">
          <color theme="0"/>
        </vertical>
        <horizontal style="hair">
          <color theme="0"/>
        </horizontal>
      </border>
    </dxf>
    <dxf>
      <font>
        <strike val="0"/>
        <outline val="0"/>
        <shadow val="0"/>
        <vertAlign val="baseline"/>
        <sz val="11"/>
        <color theme="1"/>
        <name val="游ゴシック"/>
        <family val="3"/>
        <charset val="128"/>
        <scheme val="minor"/>
      </font>
      <numFmt numFmtId="30" formatCode="@"/>
    </dxf>
    <dxf>
      <font>
        <strike val="0"/>
        <outline val="0"/>
        <shadow val="0"/>
        <vertAlign val="baseline"/>
        <sz val="11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  <border diagonalUp="0" diagonalDown="0">
        <left style="hair">
          <color theme="0"/>
        </left>
        <right style="hair">
          <color theme="0"/>
        </right>
        <top/>
        <bottom/>
        <vertical style="hair">
          <color theme="0"/>
        </vertical>
        <horizontal style="hair">
          <color theme="0"/>
        </horizontal>
      </border>
    </dxf>
    <dxf>
      <font>
        <strike val="0"/>
        <outline val="0"/>
        <shadow val="0"/>
        <vertAlign val="baseline"/>
        <sz val="11"/>
        <color theme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sz val="11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3"/>
        <charset val="128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  <border diagonalUp="0" diagonalDown="0">
        <left style="hair">
          <color theme="0"/>
        </left>
        <right style="hair">
          <color theme="0"/>
        </right>
        <top/>
        <bottom/>
        <vertical style="hair">
          <color theme="0"/>
        </vertical>
        <horizontal style="hair">
          <color theme="0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游ゴシック"/>
        <charset val="128"/>
        <scheme val="minor"/>
      </font>
    </dxf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  <alignment horizontal="righ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  <alignment vertical="top" textRotation="0" indent="0" justifyLastLine="0" shrinkToFit="0" readingOrder="0"/>
    </dxf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  <alignment vertical="top" textRotation="0" indent="0" justifyLastLine="0" shrinkToFit="0" readingOrder="0"/>
    </dxf>
    <dxf>
      <font>
        <strike val="0"/>
        <outline val="0"/>
        <shadow val="0"/>
        <vertAlign val="baseline"/>
        <sz val="11"/>
        <color theme="1"/>
        <name val="游ゴシック"/>
        <charset val="128"/>
        <scheme val="minor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D883FF"/>
      <color rgb="FF9437FF"/>
      <color rgb="FF929000"/>
      <color rgb="FFFF2F92"/>
      <color rgb="FFFF8AD8"/>
      <color rgb="FFFF85FF"/>
      <color rgb="FF521B93"/>
      <color rgb="FFAB79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ecuacion-util-code-generator-batch/src/main/info-excel-resources/DB&#38917;&#30446;&#23450;&#32681;&#26360;(fmt-v4.5.0)_aws-instance-manager.xlsx" TargetMode="External"/><Relationship Id="rId2" Type="http://schemas.openxmlformats.org/officeDocument/2006/relationships/externalLinkPath" Target="/Users/yosuke.tanaka/Desktop/development/git/ecuacion-util-code-generator-batch/src/main/info-excel-resources/DB&#38917;&#30446;&#23450;&#32681;&#26360;(fmt-v4.5.0)_aws-instance-manager.xlsx" TargetMode="External"/><Relationship Id="rId1" Type="http://schemas.openxmlformats.org/officeDocument/2006/relationships/externalLinkPath" Target="/Users/yosuke.tanaka/Desktop/development/git/ecuacion-util-code-generator-batch/src/main/info-excel-resources/DB&#38917;&#30446;&#23450;&#32681;&#26360;(fmt-v4.5.0)_aws-instance-manag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Typeプルダウン項目"/>
      <sheetName val="dataType・データパターン一覧"/>
      <sheetName val="fmt変更履歴"/>
      <sheetName val="readme"/>
      <sheetName val="各種設定"/>
      <sheetName val="dataType定義"/>
      <sheetName val="enum定義"/>
      <sheetName val="型別dataType設定項目"/>
      <sheetName val="FK種類"/>
      <sheetName val="【説明】DB項目定義"/>
      <sheetName val="DB項目定義"/>
      <sheetName val="DB共通項目定義"/>
      <sheetName val="★☆★　→未使用→　★☆★"/>
      <sheetName val="（未使用）dataType参照定義"/>
      <sheetName val="（未使用）DBテーブル定義"/>
      <sheetName val="（未使用）class項目定義"/>
    </sheetNames>
    <sheetDataSet>
      <sheetData sheetId="0">
        <row r="3">
          <cell r="A3" t="str">
            <v>全半角（制限なし）</v>
          </cell>
        </row>
        <row r="4">
          <cell r="A4" t="str">
            <v>全角</v>
          </cell>
        </row>
        <row r="5">
          <cell r="A5" t="str">
            <v>半角</v>
          </cell>
        </row>
        <row r="6">
          <cell r="A6" t="str">
            <v>半角数字</v>
          </cell>
        </row>
        <row r="7">
          <cell r="A7" t="str">
            <v>英大文字</v>
          </cell>
        </row>
        <row r="8">
          <cell r="A8" t="str">
            <v>英大文字＋_</v>
          </cell>
        </row>
        <row r="9">
          <cell r="A9" t="str">
            <v>英小文字</v>
          </cell>
        </row>
        <row r="10">
          <cell r="A10" t="str">
            <v>英小文字＋_</v>
          </cell>
        </row>
        <row r="11">
          <cell r="A11" t="str">
            <v>半角数字＋英大文字</v>
          </cell>
        </row>
        <row r="12">
          <cell r="A12" t="str">
            <v>半角数字＋英大文字＋_</v>
          </cell>
        </row>
        <row r="13">
          <cell r="A13" t="str">
            <v>半角数字＋英小文字</v>
          </cell>
        </row>
        <row r="14">
          <cell r="A14" t="str">
            <v>半角数字＋英小文字＋_</v>
          </cell>
        </row>
        <row r="15">
          <cell r="A15" t="str">
            <v>半角英字</v>
          </cell>
        </row>
        <row r="16">
          <cell r="A16" t="str">
            <v>半角英字＋_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田中庸介" id="{78017D61-44A1-0A4F-9335-7121C27F2A1F}" userId="S::yosuke.tanaka@ecuacion.jp::d5495b55-5ca6-44f8-b4f6-a2bcc0a387d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2FC8765-21CB-4449-8794-6F7BB0DF5CF4}" name="テーブル5" displayName="テーブル5" ref="A3:D4" totalsRowShown="0" headerRowDxfId="55" dataDxfId="54">
  <autoFilter ref="A3:D4" xr:uid="{00000000-0009-0000-0100-000005000000}"/>
  <tableColumns count="4">
    <tableColumn id="1" xr3:uid="{E4142994-3892-C340-9A65-88F80365D8CE}" name="Date" dataDxfId="53"/>
    <tableColumn id="2" xr3:uid="{35BACA5E-E809-0844-BAB8-78CB7B6B343E}" name="Version" dataDxfId="52"/>
    <tableColumn id="3" xr3:uid="{C4E826C9-5641-E048-9706-B0754516BA47}" name="Notes" dataDxfId="1"/>
    <tableColumn id="4" xr3:uid="{10D446C7-4721-E74C-863B-894EBEBABA4B}" name="Updated By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155060-B8ED-8845-8CC4-DA9C5F0847AB}" name="テーブル4" displayName="テーブル4" ref="A1:B3" totalsRowShown="0" headerRowDxfId="51">
  <autoFilter ref="A1:B3" xr:uid="{24155060-B8ED-8845-8CC4-DA9C5F0847AB}"/>
  <tableColumns count="2">
    <tableColumn id="1" xr3:uid="{98E4E7E5-8F2D-A64D-A202-DFFC12164331}" name="item" dataDxfId="50"/>
    <tableColumn id="2" xr3:uid="{E3BF9435-59E2-8948-93E9-5462EEBA2F6D}" name="value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7B5D78-5E9B-DE4B-B691-1DF452AB1374}" name="テーブル3" displayName="テーブル3" ref="A4:I5" insertRow="1" totalsRowShown="0" headerRowDxfId="48" dataDxfId="47">
  <autoFilter ref="A4:I5" xr:uid="{00000000-0009-0000-0100-000002000000}"/>
  <tableColumns count="9">
    <tableColumn id="1" xr3:uid="{6F9607F2-5B3B-AC43-9B81-3332FF1A0DAD}" name="DB Connection ID" dataDxfId="46"/>
    <tableColumn id="2" xr3:uid="{EB1F7206-30E2-EA43-A8CF-9AD4F9A14E33}" name="Driver Name" dataDxfId="45"/>
    <tableColumn id="3" xr3:uid="{4D55D82B-BDD3-2B46-A21D-0450B9F1910B}" name="Connection URL: Protocol" dataDxfId="44" dataCellStyle="標準 2"/>
    <tableColumn id="4" xr3:uid="{84D0845B-C5EE-9047-A1AB-EE336A75EBAD}" name="Connection URL: Server" dataDxfId="43" dataCellStyle="標準 2"/>
    <tableColumn id="5" xr3:uid="{6197D9F5-186B-D44E-ADCB-89378D8B3702}" name="Connection URL: Port" dataDxfId="42" dataCellStyle="標準 2"/>
    <tableColumn id="6" xr3:uid="{26B865D4-D13A-9C4C-B104-C634122F988F}" name="Connection URL: Database" dataDxfId="41" dataCellStyle="標準 2"/>
    <tableColumn id="7" xr3:uid="{046864C3-26A2-7B44-B07A-EAB68FAF2EEA}" name="Connection URL: Schema" dataDxfId="40" dataCellStyle="標準 2"/>
    <tableColumn id="8" xr3:uid="{4A5FE8C4-A0F3-3E4A-9BB5-642C226504CF}" name="Username" dataDxfId="39" dataCellStyle="標準 2"/>
    <tableColumn id="9" xr3:uid="{6A963E93-AA2B-944F-A127-0CD6F7E61369}" name="Password" dataDxfId="38" dataCellStyle="標準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C29F33-44CC-B14C-8562-09C29609B4D7}" name="テーブル32" displayName="テーブル32" ref="A4:O5" totalsRowShown="0" headerRowDxfId="37" dataDxfId="36">
  <autoFilter ref="A4:O5" xr:uid="{00000000-0009-0000-0100-000002000000}"/>
  <tableColumns count="15">
    <tableColumn id="1" xr3:uid="{CBD51E9F-618C-754C-8BA6-0B46FCE3F82F}" name="Task ID" dataDxfId="35"/>
    <tableColumn id="12" xr3:uid="{5E33A481-4C3C-A049-B253-3EC944DDB6EC}" name="DB Connection ID" dataDxfId="34" dataCellStyle="標準 2"/>
    <tableColumn id="2" xr3:uid="{AADC801E-ABC4-9E4F-8EFF-3383030B2A4B}" name="Process Type" dataDxfId="33"/>
    <tableColumn id="15" xr3:uid="{F58118F0-6716-6C42-853A-3FBAEE07F4E8}" name="Process Type (internal value)" dataDxfId="32">
      <calculatedColumnFormula array="1">_xlfn.IFS(テーブル32[[#This Row],[Process Type]]="Soft Delete","SOFT_DELETE",テーブル32[[#This Row],[Process Type]]="Hard Delete","HARD_DELETE",テーブル32[[#This Row],[Process Type]]="Abnormal Data Check","ABNORMAL_DATA_CHECK",TRUE,"")</calculatedColumnFormula>
    </tableColumn>
    <tableColumn id="3" xr3:uid="{6C98AD64-A3D3-F44E-A881-8EFCEA1F9F67}" name="Table Name" dataDxfId="31" dataCellStyle="標準 2"/>
    <tableColumn id="4" xr3:uid="{A38A3149-447A-8548-9729-49CE9E074B36}" name="ID Column Name" dataDxfId="30" dataCellStyle="標準 2"/>
    <tableColumn id="10" xr3:uid="{B15AF0F8-272C-B943-9D75-81A8797BC598}" name="ID Column Literal Symbol" dataDxfId="29"/>
    <tableColumn id="5" xr3:uid="{6FE6A1FF-15C9-7545-B254-7B2C29EF168D}" name="Expiration Check: Date / Timestamp Column Name" dataDxfId="28" dataCellStyle="標準 2"/>
    <tableColumn id="11" xr3:uid="{BF075527-A2E7-834B-AD05-1A2D9E3BA0AD}" name="Expiration Check: Timestamp Column Data Type" dataDxfId="27"/>
    <tableColumn id="6" xr3:uid="{94EB7746-8D75-EE47-A2F3-81D397D26AE1}" name="Expiration Check: Validity Days" dataDxfId="26" dataCellStyle="標準 2"/>
    <tableColumn id="7" xr3:uid="{62ADB4F3-1C59-7F4B-819E-B49B0ABB889C}" name="Soft Delete Column Name" dataDxfId="25" dataCellStyle="標準 2"/>
    <tableColumn id="8" xr3:uid="{0EB6A694-7E00-B64C-AF69-22B6C7E1C560}" name="Soft Delete: Update Date / Timestamp Column Name" dataDxfId="24" dataCellStyle="標準 2"/>
    <tableColumn id="9" xr3:uid="{0A6924E1-C0CB-AF40-A208-E0E96A257245}" name="Soft Delete: Update User ID Column Name" dataDxfId="23" dataCellStyle="標準 2"/>
    <tableColumn id="14" xr3:uid="{93BF3B4F-D2E8-A640-A768-A230439878D9}" name="Soft Delete: Update User ID Column Literal Symbol" dataDxfId="22" dataCellStyle="標準 2"/>
    <tableColumn id="13" xr3:uid="{DE6ACC44-9137-0840-9711-E0D04FCC851F}" name="Soft Delete: Update User ID Column Value" dataDxfId="21" dataCellStyle="標準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D8E589-22D9-8541-A9D6-F03C8FC47C4E}" name="テーブル323" displayName="テーブル323" ref="A4:E5" insertRow="1" totalsRowShown="0" headerRowDxfId="20">
  <autoFilter ref="A4:E5" xr:uid="{00000000-0009-0000-0100-000002000000}"/>
  <tableColumns count="5">
    <tableColumn id="1" xr3:uid="{0B02141A-0F5F-8849-982C-6C0A6A7BEE4F}" name="Task ID" dataDxfId="19" dataCellStyle="標準 2"/>
    <tableColumn id="12" xr3:uid="{69A08ECC-4076-9E48-8CE9-3FABB073CA81}" name="Search Condition Column Name" dataDxfId="18"/>
    <tableColumn id="13" xr3:uid="{893B5EF9-F206-4F82-8561-C2C5A6776814}" name="Search Condition Operator" dataDxfId="18"/>
    <tableColumn id="2" xr3:uid="{511F37DB-74E3-394C-9204-B1C6CA623CD0}" name="Search Condition Column Literal Symbol" dataDxfId="17"/>
    <tableColumn id="3" xr3:uid="{2F474AF9-6428-D446-9D8C-0FEF2C86FE1D}" name="Search Condition Column Value" dataDxfId="16" dataCellStyle="標準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E7E132-481E-3140-932F-4C153EC6948B}" name="テーブル3236" displayName="テーブル3236" ref="A4:L5" totalsRowShown="0" headerRowDxfId="15" dataDxfId="14">
  <autoFilter ref="A4:L5" xr:uid="{00000000-0009-0000-0100-000002000000}"/>
  <tableColumns count="12">
    <tableColumn id="1" xr3:uid="{65C86A53-0A13-8F47-916D-E06475BCECE3}" name="Task ID" dataDxfId="13"/>
    <tableColumn id="12" xr3:uid="{987F2B9C-94EA-9F41-A4C1-6D7606B12BAC}" name="Related Table Process Pattern" dataDxfId="12"/>
    <tableColumn id="10" xr3:uid="{4A3F5F45-559C-3B48-8E59-FDBCE79B21C8}" name="Related Table Process Pattern (internal value)" dataDxfId="11">
      <calculatedColumnFormula array="1">_xlfn.IFS(テーブル3236[[#This Row],[Related Table Process Pattern]]="Delete","DELETE",テーブル3236[[#This Row],[Related Table Process Pattern]]="Check and Skip Delete","CHECK_AND_SKIP_DELETE",TRUE,"")</calculatedColumnFormula>
    </tableColumn>
    <tableColumn id="13" xr3:uid="{5E73C8D1-B2FA-854B-BEBB-60B6E93A2638}" name="Target Table Column Name" dataDxfId="10"/>
    <tableColumn id="2" xr3:uid="{3B40126A-13DD-E04B-A86B-9387EB6006A1}" name="Related Table Name" dataDxfId="9" dataCellStyle="標準 2"/>
    <tableColumn id="3" xr3:uid="{59ED585B-1BCF-DB41-A333-2655E74C710D}" name="Related Table ID Column Name" dataDxfId="8" dataCellStyle="標準 2"/>
    <tableColumn id="14" xr3:uid="{75144EA6-AFC2-3646-9A0E-DD4A2D917411}" name="Related Table ID Column Literal Symbol" dataDxfId="7" dataCellStyle="標準 2"/>
    <tableColumn id="4" xr3:uid="{684AF203-54CE-5A42-8441-2636BF604DAF}" name="Soft Delete Column Name" dataDxfId="6"/>
    <tableColumn id="5" xr3:uid="{1D070257-74D6-6746-B460-ACB59A1770E6}" name="Soft Delete: Update Date / Timestamp Column Name" dataDxfId="5"/>
    <tableColumn id="6" xr3:uid="{59287FEB-061F-B946-B814-312CDD2F482D}" name="Soft Delete: Update User ID Column Name" dataDxfId="4"/>
    <tableColumn id="7" xr3:uid="{E0734288-8DC3-C342-98A6-DBC50A55CEF9}" name="Soft Delete: Update User ID Column Literal Symbol" dataDxfId="3"/>
    <tableColumn id="8" xr3:uid="{D5E8A958-B06D-554D-B183-49DD307AC86A}" name="Soft Delete: Update User ID Column Val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4-08-31T07:19:37.97" personId="{78017D61-44A1-0A4F-9335-7121C27F2A1F}" id="{7D829323-4655-CD44-9CAF-FB0BE1358339}">
    <text>Required because actual deletion specifies which record to delete by this ID column's value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F212-59AD-6B4B-8D53-7B3A09021B62}">
  <dimension ref="A1:D4"/>
  <sheetViews>
    <sheetView tabSelected="1" zoomScaleNormal="100" workbookViewId="0">
      <pane ySplit="3" topLeftCell="A4" activePane="bottomLeft" state="frozen"/>
      <selection pane="bottomLeft" activeCell="C11" sqref="C11"/>
    </sheetView>
  </sheetViews>
  <sheetFormatPr baseColWidth="10" defaultColWidth="7.5" defaultRowHeight="15" x14ac:dyDescent="0.2"/>
  <cols>
    <col min="1" max="1" width="11.6640625" style="4" customWidth="1"/>
    <col min="2" max="2" width="10.5" style="3" bestFit="1" customWidth="1"/>
    <col min="3" max="3" width="79.33203125" style="4" customWidth="1"/>
    <col min="4" max="4" width="15" style="5" bestFit="1" customWidth="1"/>
    <col min="5" max="16384" width="7.5" style="4"/>
  </cols>
  <sheetData>
    <row r="1" spans="1:4" x14ac:dyDescent="0.2">
      <c r="A1" s="2" t="s">
        <v>4</v>
      </c>
    </row>
    <row r="3" spans="1:4" x14ac:dyDescent="0.2">
      <c r="A3" s="11" t="s">
        <v>5</v>
      </c>
      <c r="B3" s="11" t="s">
        <v>6</v>
      </c>
      <c r="C3" s="11" t="s">
        <v>7</v>
      </c>
      <c r="D3" s="11" t="s">
        <v>8</v>
      </c>
    </row>
    <row r="4" spans="1:4" ht="32" x14ac:dyDescent="0.2">
      <c r="A4" s="13">
        <v>46256</v>
      </c>
      <c r="B4" s="12" t="s">
        <v>62</v>
      </c>
      <c r="C4" s="14" t="s">
        <v>66</v>
      </c>
      <c r="D4" s="32" t="s">
        <v>40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E85A-107F-2C44-81EE-5FEA58452807}">
  <dimension ref="A1:B3"/>
  <sheetViews>
    <sheetView workbookViewId="0">
      <selection activeCell="B3" sqref="B3"/>
    </sheetView>
  </sheetViews>
  <sheetFormatPr baseColWidth="10" defaultColWidth="10.6640625" defaultRowHeight="15" x14ac:dyDescent="0.2"/>
  <cols>
    <col min="1" max="1" width="13.5" style="8" bestFit="1" customWidth="1"/>
    <col min="2" max="2" width="33.1640625" style="7" bestFit="1" customWidth="1"/>
    <col min="3" max="16384" width="10.6640625" style="8"/>
  </cols>
  <sheetData>
    <row r="1" spans="1:2" x14ac:dyDescent="0.2">
      <c r="A1" s="8" t="s">
        <v>1</v>
      </c>
      <c r="B1" s="7" t="s">
        <v>0</v>
      </c>
    </row>
    <row r="2" spans="1:2" x14ac:dyDescent="0.2">
      <c r="A2" s="8" t="s">
        <v>2</v>
      </c>
      <c r="B2" s="7" t="s">
        <v>63</v>
      </c>
    </row>
    <row r="3" spans="1:2" x14ac:dyDescent="0.2">
      <c r="A3" s="16" t="s">
        <v>49</v>
      </c>
      <c r="B3" s="17" t="s">
        <v>50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6925E-45A0-264D-BD55-F8FE60A6DE15}">
  <dimension ref="A1:C20"/>
  <sheetViews>
    <sheetView workbookViewId="0">
      <selection activeCell="B3" sqref="B3"/>
    </sheetView>
  </sheetViews>
  <sheetFormatPr baseColWidth="10" defaultRowHeight="16" x14ac:dyDescent="0.2"/>
  <cols>
    <col min="1" max="1" width="17.5" bestFit="1" customWidth="1"/>
    <col min="2" max="2" width="19.5" bestFit="1" customWidth="1"/>
    <col min="3" max="3" width="17.5" bestFit="1" customWidth="1"/>
  </cols>
  <sheetData>
    <row r="1" spans="1:3" x14ac:dyDescent="0.2">
      <c r="A1" s="9" t="s">
        <v>34</v>
      </c>
      <c r="B1" s="9" t="s">
        <v>36</v>
      </c>
      <c r="C1" s="9" t="s">
        <v>30</v>
      </c>
    </row>
    <row r="2" spans="1:3" x14ac:dyDescent="0.2">
      <c r="A2" s="10" t="s">
        <v>17</v>
      </c>
      <c r="B2" s="10" t="s">
        <v>37</v>
      </c>
      <c r="C2" s="10" t="s">
        <v>20</v>
      </c>
    </row>
    <row r="3" spans="1:3" x14ac:dyDescent="0.2">
      <c r="A3" s="10"/>
      <c r="B3" s="10" t="s">
        <v>18</v>
      </c>
      <c r="C3" s="10" t="s">
        <v>19</v>
      </c>
    </row>
    <row r="4" spans="1:3" x14ac:dyDescent="0.2">
      <c r="A4" s="10"/>
      <c r="B4" s="10"/>
      <c r="C4" s="10"/>
    </row>
    <row r="5" spans="1:3" x14ac:dyDescent="0.2">
      <c r="A5" s="10"/>
      <c r="B5" s="10"/>
      <c r="C5" s="10"/>
    </row>
    <row r="6" spans="1:3" x14ac:dyDescent="0.2">
      <c r="A6" s="10"/>
      <c r="B6" s="10"/>
      <c r="C6" s="10"/>
    </row>
    <row r="7" spans="1:3" x14ac:dyDescent="0.2">
      <c r="A7" s="10"/>
      <c r="B7" s="10"/>
      <c r="C7" s="10"/>
    </row>
    <row r="8" spans="1:3" x14ac:dyDescent="0.2">
      <c r="A8" s="10"/>
      <c r="B8" s="10"/>
      <c r="C8" s="10"/>
    </row>
    <row r="9" spans="1:3" x14ac:dyDescent="0.2">
      <c r="A9" s="10"/>
      <c r="B9" s="10"/>
      <c r="C9" s="10"/>
    </row>
    <row r="10" spans="1:3" x14ac:dyDescent="0.2">
      <c r="A10" s="10"/>
      <c r="B10" s="10"/>
      <c r="C10" s="10"/>
    </row>
    <row r="11" spans="1:3" x14ac:dyDescent="0.2">
      <c r="A11" s="10"/>
      <c r="B11" s="10"/>
      <c r="C11" s="10"/>
    </row>
    <row r="12" spans="1:3" x14ac:dyDescent="0.2">
      <c r="A12" s="10"/>
      <c r="B12" s="10"/>
      <c r="C12" s="10"/>
    </row>
    <row r="13" spans="1:3" x14ac:dyDescent="0.2">
      <c r="A13" s="10"/>
      <c r="B13" s="10"/>
      <c r="C13" s="10"/>
    </row>
    <row r="14" spans="1:3" x14ac:dyDescent="0.2">
      <c r="A14" s="10"/>
      <c r="B14" s="10"/>
      <c r="C14" s="10"/>
    </row>
    <row r="15" spans="1:3" x14ac:dyDescent="0.2">
      <c r="A15" s="10"/>
      <c r="B15" s="10"/>
      <c r="C15" s="10"/>
    </row>
    <row r="16" spans="1:3" x14ac:dyDescent="0.2">
      <c r="A16" s="10"/>
      <c r="B16" s="10"/>
      <c r="C16" s="10"/>
    </row>
    <row r="17" spans="1:3" x14ac:dyDescent="0.2">
      <c r="A17" s="10"/>
      <c r="B17" s="10"/>
      <c r="C17" s="10"/>
    </row>
    <row r="18" spans="1:3" x14ac:dyDescent="0.2">
      <c r="A18" s="10"/>
      <c r="B18" s="10"/>
      <c r="C18" s="10"/>
    </row>
    <row r="19" spans="1:3" x14ac:dyDescent="0.2">
      <c r="A19" s="10"/>
      <c r="B19" s="10"/>
      <c r="C19" s="10"/>
    </row>
    <row r="20" spans="1:3" x14ac:dyDescent="0.2">
      <c r="A20" s="10"/>
      <c r="B20" s="10"/>
      <c r="C20" s="10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F1A1-7AAA-9644-B9A4-2FF06B781584}">
  <dimension ref="A1:I5"/>
  <sheetViews>
    <sheetView workbookViewId="0"/>
  </sheetViews>
  <sheetFormatPr baseColWidth="10" defaultColWidth="7.5" defaultRowHeight="15" x14ac:dyDescent="0.2"/>
  <cols>
    <col min="1" max="1" width="23.83203125" style="6" bestFit="1" customWidth="1"/>
    <col min="2" max="9" width="20.1640625" style="6" customWidth="1"/>
    <col min="10" max="16384" width="7.5" style="6"/>
  </cols>
  <sheetData>
    <row r="1" spans="1:9" x14ac:dyDescent="0.2">
      <c r="A1" s="1" t="s">
        <v>55</v>
      </c>
    </row>
    <row r="3" spans="1:9" x14ac:dyDescent="0.2">
      <c r="A3" s="6" t="s">
        <v>23</v>
      </c>
    </row>
    <row r="4" spans="1:9" x14ac:dyDescent="0.2">
      <c r="A4" s="20" t="s">
        <v>9</v>
      </c>
      <c r="B4" s="20" t="s">
        <v>10</v>
      </c>
      <c r="C4" s="27" t="s">
        <v>11</v>
      </c>
      <c r="D4" s="27" t="s">
        <v>13</v>
      </c>
      <c r="E4" s="27" t="s">
        <v>12</v>
      </c>
      <c r="F4" s="27" t="s">
        <v>15</v>
      </c>
      <c r="G4" s="27" t="s">
        <v>14</v>
      </c>
      <c r="H4" s="27" t="s">
        <v>16</v>
      </c>
      <c r="I4" s="28" t="s">
        <v>3</v>
      </c>
    </row>
    <row r="5" spans="1:9" x14ac:dyDescent="0.2">
      <c r="B5" s="8"/>
      <c r="C5" s="8"/>
      <c r="D5" s="8"/>
      <c r="E5" s="8"/>
      <c r="F5" s="8"/>
      <c r="G5" s="8"/>
      <c r="H5" s="8"/>
      <c r="I5" s="8"/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F72C4-22B4-0242-AA9D-05DCD1C7C1AF}">
  <dimension ref="A1:O14"/>
  <sheetViews>
    <sheetView zoomScale="111" workbookViewId="0"/>
  </sheetViews>
  <sheetFormatPr baseColWidth="10" defaultColWidth="7.5" defaultRowHeight="15" x14ac:dyDescent="0.2"/>
  <cols>
    <col min="1" max="1" width="40.5" style="6" customWidth="1"/>
    <col min="2" max="2" width="23.83203125" style="6" customWidth="1"/>
    <col min="3" max="3" width="37.33203125" style="6" bestFit="1" customWidth="1"/>
    <col min="4" max="4" width="25.6640625" style="6" hidden="1" customWidth="1"/>
    <col min="5" max="6" width="20.1640625" style="6" customWidth="1"/>
    <col min="7" max="7" width="25.5" style="6" bestFit="1" customWidth="1"/>
    <col min="8" max="9" width="38" style="6" bestFit="1" customWidth="1"/>
    <col min="10" max="10" width="40" style="6" bestFit="1" customWidth="1"/>
    <col min="11" max="11" width="44.33203125" style="6" bestFit="1" customWidth="1"/>
    <col min="12" max="12" width="34.33203125" style="6" bestFit="1" customWidth="1"/>
    <col min="13" max="13" width="33.33203125" style="6" bestFit="1" customWidth="1"/>
    <col min="14" max="14" width="44.83203125" style="6" bestFit="1" customWidth="1"/>
    <col min="15" max="15" width="33.33203125" style="6" bestFit="1" customWidth="1"/>
    <col min="16" max="16384" width="7.5" style="6"/>
  </cols>
  <sheetData>
    <row r="1" spans="1:15" x14ac:dyDescent="0.2">
      <c r="A1" s="1" t="s">
        <v>56</v>
      </c>
      <c r="B1" s="1"/>
    </row>
    <row r="3" spans="1:15" x14ac:dyDescent="0.2">
      <c r="A3" s="6" t="s">
        <v>23</v>
      </c>
      <c r="H3" s="29" t="s">
        <v>64</v>
      </c>
      <c r="I3" s="29"/>
      <c r="J3" s="29"/>
      <c r="K3" s="30" t="s">
        <v>65</v>
      </c>
      <c r="L3" s="30"/>
      <c r="M3" s="30"/>
      <c r="N3" s="30"/>
      <c r="O3" s="31"/>
    </row>
    <row r="4" spans="1:15" x14ac:dyDescent="0.2">
      <c r="A4" s="21" t="s">
        <v>51</v>
      </c>
      <c r="B4" s="21" t="s">
        <v>21</v>
      </c>
      <c r="C4" s="21" t="s">
        <v>59</v>
      </c>
      <c r="D4" s="21" t="s">
        <v>60</v>
      </c>
      <c r="E4" s="22" t="s">
        <v>52</v>
      </c>
      <c r="F4" s="22" t="s">
        <v>53</v>
      </c>
      <c r="G4" s="26" t="s">
        <v>54</v>
      </c>
      <c r="H4" s="23" t="s">
        <v>41</v>
      </c>
      <c r="I4" s="23" t="s">
        <v>42</v>
      </c>
      <c r="J4" s="23" t="s">
        <v>43</v>
      </c>
      <c r="K4" s="24" t="s">
        <v>44</v>
      </c>
      <c r="L4" s="24" t="s">
        <v>48</v>
      </c>
      <c r="M4" s="24" t="s">
        <v>45</v>
      </c>
      <c r="N4" s="24" t="s">
        <v>47</v>
      </c>
      <c r="O4" s="25" t="s">
        <v>46</v>
      </c>
    </row>
    <row r="5" spans="1:15" x14ac:dyDescent="0.2">
      <c r="A5" s="8"/>
      <c r="C5" s="8"/>
      <c r="D5" s="8" t="str" cm="1">
        <f t="array" ref="D5">_xlfn.IFS(テーブル32[[#This Row],[Process Type]]="Soft Delete","SOFT_DELETE",テーブル32[[#This Row],[Process Type]]="Hard Delete","HARD_DELETE",テーブル32[[#This Row],[Process Type]]="Abnormal Data Check","ABNORMAL_DATA_CHECK",TRUE,"")</f>
        <v/>
      </c>
      <c r="E5" s="8"/>
      <c r="F5" s="8"/>
      <c r="G5" s="8"/>
      <c r="H5" s="8"/>
      <c r="I5" s="8"/>
      <c r="J5" s="8"/>
      <c r="K5" s="8"/>
      <c r="N5" s="8"/>
    </row>
    <row r="12" spans="1:15" x14ac:dyDescent="0.2">
      <c r="A12" s="15"/>
    </row>
    <row r="13" spans="1:15" x14ac:dyDescent="0.2">
      <c r="A13" s="15"/>
    </row>
    <row r="14" spans="1:15" x14ac:dyDescent="0.2">
      <c r="A14" s="15"/>
    </row>
  </sheetData>
  <mergeCells count="2">
    <mergeCell ref="H3:J3"/>
    <mergeCell ref="K3:O3"/>
  </mergeCells>
  <phoneticPr fontId="1"/>
  <dataValidations count="3">
    <dataValidation type="list" allowBlank="1" showInputMessage="1" showErrorMessage="1" sqref="C5" xr:uid="{8F6F98C1-595C-9F49-B250-21CD2634841D}">
      <formula1>"Soft Delete,Hard Delete,Abnormal Data Check"</formula1>
    </dataValidation>
    <dataValidation type="list" allowBlank="1" showInputMessage="1" showErrorMessage="1" sqref="G5 N5" xr:uid="{7B8B2790-6C59-604D-89F1-3BD24DE216A5}">
      <formula1>"quotes('),(none)"</formula1>
    </dataValidation>
    <dataValidation type="list" allowBlank="1" showInputMessage="1" showErrorMessage="1" sqref="I5" xr:uid="{77C8DCE9-D337-B146-99D9-21A4944967AD}">
      <formula1>"LocalDateTime,OffsetDateTime"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208AFB-26DA-EC44-B882-FF47D92F36CF}">
          <x14:formula1>
            <xm:f>dropdown!$B$2:$B$20</xm:f>
          </x14:formula1>
          <xm:sqref>N6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1BEA4-8682-2D4B-83F3-E3D5D9773981}">
  <dimension ref="A1:E6"/>
  <sheetViews>
    <sheetView workbookViewId="0"/>
  </sheetViews>
  <sheetFormatPr baseColWidth="10" defaultColWidth="7.5" defaultRowHeight="15" x14ac:dyDescent="0.2"/>
  <cols>
    <col min="1" max="1" width="40.5" style="6" customWidth="1"/>
    <col min="2" max="2" width="23.83203125" style="6" customWidth="1"/>
    <col min="3" max="3" width="22" style="6" customWidth="1"/>
    <col min="4" max="4" width="25.5" style="6" bestFit="1" customWidth="1"/>
    <col min="5" max="5" width="20.1640625" style="6" customWidth="1"/>
    <col min="6" max="16384" width="7.5" style="6"/>
  </cols>
  <sheetData>
    <row r="1" spans="1:5" x14ac:dyDescent="0.2">
      <c r="A1" s="1" t="s">
        <v>58</v>
      </c>
      <c r="B1" s="1"/>
    </row>
    <row r="3" spans="1:5" x14ac:dyDescent="0.2">
      <c r="A3" s="6" t="s">
        <v>23</v>
      </c>
    </row>
    <row r="4" spans="1:5" x14ac:dyDescent="0.2">
      <c r="A4" s="20" t="s">
        <v>22</v>
      </c>
      <c r="B4" s="20" t="s">
        <v>24</v>
      </c>
      <c r="C4" s="20" t="s">
        <v>67</v>
      </c>
      <c r="D4" s="27" t="s">
        <v>25</v>
      </c>
      <c r="E4" s="28" t="s">
        <v>26</v>
      </c>
    </row>
    <row r="5" spans="1:5" x14ac:dyDescent="0.2">
      <c r="B5" s="8"/>
      <c r="C5" s="8"/>
      <c r="D5" s="8"/>
      <c r="E5" s="7"/>
    </row>
    <row r="6" spans="1:5" x14ac:dyDescent="0.2">
      <c r="B6" s="8"/>
      <c r="C6" s="8"/>
      <c r="D6" s="8"/>
      <c r="E6" s="7"/>
    </row>
  </sheetData>
  <phoneticPr fontId="1"/>
  <dataValidations count="2">
    <dataValidation type="list" allowBlank="1" showInputMessage="1" showErrorMessage="1" sqref="D5:D6" xr:uid="{F3EDCD97-3DDD-0A4D-ACDF-687A95CDC907}">
      <formula1>"quotes('),(none)"</formula1>
    </dataValidation>
    <dataValidation type="list" allowBlank="1" showInputMessage="1" showErrorMessage="1" sqref="C5:C6" xr:uid="{349A10D3-12BD-43FB-95FF-0264E64069F5}">
      <formula1>"equal,not equal"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0BCC2-429D-064C-9186-E29D7E93B50F}">
  <dimension ref="A1:L9"/>
  <sheetViews>
    <sheetView workbookViewId="0"/>
  </sheetViews>
  <sheetFormatPr baseColWidth="10" defaultColWidth="7.5" defaultRowHeight="15" x14ac:dyDescent="0.2"/>
  <cols>
    <col min="1" max="1" width="40.5" style="6" customWidth="1"/>
    <col min="2" max="2" width="41.5" style="6" customWidth="1"/>
    <col min="3" max="3" width="41.5" style="6" hidden="1" customWidth="1"/>
    <col min="4" max="4" width="20.1640625" style="6" bestFit="1" customWidth="1"/>
    <col min="5" max="5" width="25.5" style="6" bestFit="1" customWidth="1"/>
    <col min="6" max="6" width="20.1640625" style="6" customWidth="1"/>
    <col min="7" max="7" width="30.5" style="6" bestFit="1" customWidth="1"/>
    <col min="8" max="8" width="21.5" style="6" customWidth="1"/>
    <col min="9" max="9" width="32" style="6" bestFit="1" customWidth="1"/>
    <col min="10" max="10" width="30.5" style="6" bestFit="1" customWidth="1"/>
    <col min="11" max="11" width="40.83203125" style="6" bestFit="1" customWidth="1"/>
    <col min="12" max="12" width="30.5" style="6" bestFit="1" customWidth="1"/>
    <col min="13" max="16384" width="7.5" style="6"/>
  </cols>
  <sheetData>
    <row r="1" spans="1:12" x14ac:dyDescent="0.2">
      <c r="A1" s="1" t="s">
        <v>57</v>
      </c>
      <c r="B1" s="1"/>
      <c r="C1" s="1"/>
      <c r="D1" s="1"/>
    </row>
    <row r="3" spans="1:12" x14ac:dyDescent="0.2">
      <c r="A3" s="6" t="s">
        <v>23</v>
      </c>
      <c r="H3" s="30" t="s">
        <v>65</v>
      </c>
      <c r="I3" s="30"/>
      <c r="J3" s="30"/>
      <c r="K3" s="30"/>
      <c r="L3" s="31"/>
    </row>
    <row r="4" spans="1:12" x14ac:dyDescent="0.2">
      <c r="A4" s="20" t="s">
        <v>22</v>
      </c>
      <c r="B4" s="20" t="s">
        <v>29</v>
      </c>
      <c r="C4" s="20" t="s">
        <v>61</v>
      </c>
      <c r="D4" s="20" t="s">
        <v>27</v>
      </c>
      <c r="E4" s="27" t="s">
        <v>28</v>
      </c>
      <c r="F4" s="27" t="s">
        <v>38</v>
      </c>
      <c r="G4" s="19" t="s">
        <v>39</v>
      </c>
      <c r="H4" s="24" t="s">
        <v>44</v>
      </c>
      <c r="I4" s="24" t="s">
        <v>31</v>
      </c>
      <c r="J4" s="24" t="s">
        <v>32</v>
      </c>
      <c r="K4" s="24" t="s">
        <v>35</v>
      </c>
      <c r="L4" s="25" t="s">
        <v>33</v>
      </c>
    </row>
    <row r="5" spans="1:12" x14ac:dyDescent="0.2">
      <c r="A5" s="8"/>
      <c r="B5" s="8"/>
      <c r="C5" s="8" t="str" cm="1">
        <f t="array" ref="C5">_xlfn.IFS(テーブル3236[[#This Row],[Related Table Process Pattern]]="Delete","DELETE",テーブル3236[[#This Row],[Related Table Process Pattern]]="Check and Skip Delete","CHECK_AND_SKIP_DELETE",TRUE,"")</f>
        <v/>
      </c>
      <c r="D5" s="8"/>
      <c r="E5" s="8"/>
      <c r="F5" s="7"/>
      <c r="G5" s="8"/>
    </row>
    <row r="6" spans="1:12" x14ac:dyDescent="0.2">
      <c r="A6" s="8"/>
      <c r="B6" s="15"/>
      <c r="D6" s="15"/>
      <c r="E6" s="15"/>
      <c r="F6" s="18"/>
      <c r="G6" s="15"/>
      <c r="H6" s="15"/>
      <c r="I6" s="15"/>
      <c r="J6" s="15"/>
      <c r="K6" s="15"/>
      <c r="L6" s="15"/>
    </row>
    <row r="7" spans="1:12" x14ac:dyDescent="0.2">
      <c r="A7" s="8"/>
      <c r="B7" s="15"/>
      <c r="D7" s="15"/>
      <c r="E7" s="15"/>
      <c r="F7" s="18"/>
      <c r="G7" s="15"/>
      <c r="H7" s="15"/>
      <c r="I7" s="15"/>
      <c r="J7" s="15"/>
      <c r="K7" s="15"/>
      <c r="L7" s="15"/>
    </row>
    <row r="8" spans="1:12" x14ac:dyDescent="0.2">
      <c r="A8" s="15"/>
    </row>
    <row r="9" spans="1:12" x14ac:dyDescent="0.2">
      <c r="A9" s="15"/>
    </row>
  </sheetData>
  <mergeCells count="1">
    <mergeCell ref="H3:L3"/>
  </mergeCells>
  <phoneticPr fontId="1"/>
  <dataValidations count="3">
    <dataValidation type="list" allowBlank="1" showInputMessage="1" showErrorMessage="1" sqref="G5:G7" xr:uid="{F353BD13-7B61-C54A-8C2B-F025D3AA26B4}">
      <formula1>"quotes('),(none)"</formula1>
    </dataValidation>
    <dataValidation type="list" allowBlank="1" showInputMessage="1" showErrorMessage="1" sqref="B6:B7" xr:uid="{9B87489A-16BF-C040-BD48-9AF02F137779}">
      <formula1>"Related Table Soft/Hard Delete,Data Check for Target Table Soft/Hard Delete"</formula1>
    </dataValidation>
    <dataValidation type="list" allowBlank="1" showInputMessage="1" showErrorMessage="1" sqref="B5" xr:uid="{30AEF688-100C-C24A-A54E-53A83922E012}">
      <formula1>"Delete,Check and Skip Delete"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change log</vt:lpstr>
      <vt:lpstr>Info</vt:lpstr>
      <vt:lpstr>dropdown</vt:lpstr>
      <vt:lpstr>DB Connection Settings</vt:lpstr>
      <vt:lpstr>Housekeep DB Settings</vt:lpstr>
      <vt:lpstr>Search Condition Settings</vt:lpstr>
      <vt:lpstr>Related Table 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ユーザー</dc:creator>
  <cp:lastModifiedBy>田中庸介</cp:lastModifiedBy>
  <dcterms:created xsi:type="dcterms:W3CDTF">2022-12-03T04:41:03Z</dcterms:created>
  <dcterms:modified xsi:type="dcterms:W3CDTF">2026-09-10T02:56:27Z</dcterms:modified>
</cp:coreProperties>
</file>